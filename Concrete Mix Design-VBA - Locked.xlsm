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ml.chartshapes+xml"/>
  <Override PartName="/xl/drawings/drawing8.xml" ContentType="application/vnd.openxmlformats-officedocument.drawingml.chartshap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ml.chartshap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activeX/activeX3.xml" ContentType="application/vnd.ms-office.activeX+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activeX/activeX1.xml" ContentType="application/vnd.ms-office.activeX+xml"/>
  <Override PartName="/xl/drawings/drawing1.xml" ContentType="application/vnd.openxmlformats-officedocument.drawing+xml"/>
  <Override PartName="/xl/drawings/drawing13.xml" ContentType="application/vnd.openxmlformats-officedocument.drawingml.chartshapes+xml"/>
  <Override PartName="/xl/drawings/drawing14.xml" ContentType="application/vnd.openxmlformats-officedocument.drawingml.chartshap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ml.chartshapes+xml"/>
  <Override PartName="/xl/charts/chart13.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drawings/drawing9.xml" ContentType="application/vnd.openxmlformats-officedocument.drawingml.chartshapes+xml"/>
  <Override PartName="/xl/charts/chart10.xml" ContentType="application/vnd.openxmlformats-officedocument.drawingml.chart+xml"/>
  <Override PartName="/xl/charts/chart5.xml" ContentType="application/vnd.openxmlformats-officedocument.drawingml.chart+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ThisWorkbook" defaultThemeVersion="124226"/>
  <bookViews>
    <workbookView xWindow="240" yWindow="150" windowWidth="14805" windowHeight="7965" tabRatio="930" activeTab="12"/>
  </bookViews>
  <sheets>
    <sheet name="Master" sheetId="1" r:id="rId1"/>
    <sheet name="Materials" sheetId="19" r:id="rId2"/>
    <sheet name="Tests" sheetId="14" r:id="rId3"/>
    <sheet name="Standard Deviation" sheetId="2" r:id="rId4"/>
    <sheet name="WC" sheetId="21" r:id="rId5"/>
    <sheet name="Water Content" sheetId="20" r:id="rId6"/>
    <sheet name="Cement Content" sheetId="22" r:id="rId7"/>
    <sheet name="FA-FM Calc." sheetId="3" r:id="rId8"/>
    <sheet name="FA Grading" sheetId="13" r:id="rId9"/>
    <sheet name="CA Grading" sheetId="17" r:id="rId10"/>
    <sheet name="Agg. Proportn" sheetId="5" r:id="rId11"/>
    <sheet name="Mix Calculation" sheetId="9" r:id="rId12"/>
    <sheet name="Abstract" sheetId="18" r:id="rId13"/>
  </sheets>
  <externalReferences>
    <externalReference r:id="rId14"/>
    <externalReference r:id="rId15"/>
  </externalReferences>
  <definedNames>
    <definedName name="_xlnm._FilterDatabase" localSheetId="3" hidden="1">'Standard Deviation'!$AC$62:$AC$92</definedName>
    <definedName name="_xlnm.Criteria" localSheetId="3">'Standard Deviation'!$R$15:$R$73</definedName>
  </definedNames>
  <calcPr calcId="124519"/>
</workbook>
</file>

<file path=xl/calcChain.xml><?xml version="1.0" encoding="utf-8"?>
<calcChain xmlns="http://schemas.openxmlformats.org/spreadsheetml/2006/main">
  <c r="D49" i="22"/>
  <c r="D42"/>
  <c r="D19" i="13"/>
  <c r="D21" s="1"/>
  <c r="E48" i="1"/>
  <c r="D13" i="21"/>
  <c r="M41" i="18"/>
  <c r="Q31"/>
  <c r="M33"/>
  <c r="M31"/>
  <c r="M38" i="19"/>
  <c r="M30" i="18"/>
  <c r="M26"/>
  <c r="M24"/>
  <c r="M23"/>
  <c r="M22"/>
  <c r="M19"/>
  <c r="M18"/>
  <c r="M14"/>
  <c r="M11"/>
  <c r="M7"/>
  <c r="Q24" s="1"/>
  <c r="Q11"/>
  <c r="Q23" l="1"/>
  <c r="M8"/>
  <c r="Q22"/>
  <c r="E37" l="1"/>
  <c r="K36"/>
  <c r="E36"/>
  <c r="K32"/>
  <c r="E32"/>
  <c r="K31"/>
  <c r="E31"/>
  <c r="K27"/>
  <c r="E27"/>
  <c r="K25"/>
  <c r="E25"/>
  <c r="K23"/>
  <c r="E23"/>
  <c r="E21"/>
  <c r="C73" s="1"/>
  <c r="K17"/>
  <c r="E17"/>
  <c r="K13"/>
  <c r="E13"/>
  <c r="K11"/>
  <c r="E11"/>
  <c r="K10"/>
  <c r="D23" i="22"/>
  <c r="D19"/>
  <c r="D17"/>
  <c r="L33" i="20"/>
  <c r="E7"/>
  <c r="E39" s="1"/>
  <c r="L14"/>
  <c r="L10"/>
  <c r="E45" i="21"/>
  <c r="E43"/>
  <c r="E33"/>
  <c r="E7"/>
  <c r="C81" i="18" l="1"/>
  <c r="A81"/>
  <c r="C80"/>
  <c r="A80"/>
  <c r="C82"/>
  <c r="A82"/>
  <c r="C83"/>
  <c r="C84"/>
  <c r="A84"/>
  <c r="A85"/>
  <c r="C85"/>
  <c r="A83"/>
  <c r="L25" i="20"/>
  <c r="D21" i="22"/>
  <c r="D25"/>
  <c r="J41" i="20"/>
  <c r="E47" i="21"/>
  <c r="E41" s="1"/>
  <c r="E51" s="1"/>
  <c r="D11" i="22" l="1"/>
  <c r="E32" i="5"/>
  <c r="D27" i="22"/>
  <c r="C14" i="21" l="1"/>
  <c r="L16" i="20"/>
  <c r="L12"/>
  <c r="L18" l="1"/>
  <c r="L27" s="1"/>
  <c r="L35" s="1"/>
  <c r="E13" i="21"/>
  <c r="L37" i="20" l="1"/>
  <c r="D13" i="22"/>
  <c r="D15" s="1"/>
  <c r="D29" s="1"/>
  <c r="L18" i="9"/>
  <c r="E22"/>
  <c r="E14" i="21"/>
  <c r="R2" s="1"/>
  <c r="D31" i="22" l="1"/>
  <c r="D40"/>
  <c r="D44"/>
  <c r="M55" i="18"/>
  <c r="E10"/>
  <c r="E9"/>
  <c r="K9"/>
  <c r="D46" i="22" l="1"/>
  <c r="L26" i="9" s="1"/>
  <c r="S26" s="1"/>
  <c r="E20"/>
  <c r="L24" s="1"/>
  <c r="D51" i="22"/>
  <c r="D53" s="1"/>
  <c r="M59" i="18"/>
  <c r="S24" i="9"/>
  <c r="S81" i="5"/>
  <c r="S83"/>
  <c r="S85"/>
  <c r="S87"/>
  <c r="S89"/>
  <c r="S79"/>
  <c r="S58"/>
  <c r="S60"/>
  <c r="S62"/>
  <c r="S56"/>
  <c r="S23"/>
  <c r="S25"/>
  <c r="S27"/>
  <c r="S29"/>
  <c r="S31"/>
  <c r="S33"/>
  <c r="S35"/>
  <c r="S37"/>
  <c r="S39"/>
  <c r="S21"/>
  <c r="L3"/>
  <c r="M20" i="3"/>
  <c r="M22"/>
  <c r="M18"/>
  <c r="M16"/>
  <c r="M14"/>
  <c r="D20"/>
  <c r="D22"/>
  <c r="D24"/>
  <c r="D26"/>
  <c r="D18"/>
  <c r="D16"/>
  <c r="L5" i="2"/>
  <c r="F44"/>
  <c r="AE29"/>
  <c r="AE27"/>
  <c r="AE25"/>
  <c r="AE23"/>
  <c r="AE21"/>
  <c r="AE19"/>
  <c r="AE17"/>
  <c r="AE15"/>
  <c r="AB29"/>
  <c r="AB27"/>
  <c r="AB25"/>
  <c r="AB23"/>
  <c r="AB21"/>
  <c r="AB19"/>
  <c r="AB17"/>
  <c r="AB15"/>
  <c r="AC15" s="1"/>
  <c r="D14" i="3"/>
  <c r="O78" i="14"/>
  <c r="O56"/>
  <c r="O38"/>
  <c r="L19" i="2"/>
  <c r="M19"/>
  <c r="N19"/>
  <c r="L21"/>
  <c r="M21"/>
  <c r="N21"/>
  <c r="L23"/>
  <c r="M23"/>
  <c r="N23"/>
  <c r="L25"/>
  <c r="M25"/>
  <c r="N25"/>
  <c r="L27"/>
  <c r="M27"/>
  <c r="N27"/>
  <c r="L29"/>
  <c r="M29"/>
  <c r="N29"/>
  <c r="L31"/>
  <c r="M31"/>
  <c r="N31"/>
  <c r="L33"/>
  <c r="M33"/>
  <c r="N33"/>
  <c r="L35"/>
  <c r="M35"/>
  <c r="N35"/>
  <c r="L37"/>
  <c r="M37"/>
  <c r="N37"/>
  <c r="L39"/>
  <c r="M39"/>
  <c r="N39"/>
  <c r="L41"/>
  <c r="M41"/>
  <c r="N41"/>
  <c r="L43"/>
  <c r="M43"/>
  <c r="N43"/>
  <c r="L45"/>
  <c r="M45"/>
  <c r="N45"/>
  <c r="L47"/>
  <c r="M47"/>
  <c r="N47"/>
  <c r="L49"/>
  <c r="M49"/>
  <c r="N49"/>
  <c r="L51"/>
  <c r="M51"/>
  <c r="N51"/>
  <c r="L53"/>
  <c r="M53"/>
  <c r="N53"/>
  <c r="L55"/>
  <c r="M55"/>
  <c r="N55"/>
  <c r="L57"/>
  <c r="M57"/>
  <c r="N57"/>
  <c r="L59"/>
  <c r="M59"/>
  <c r="N59"/>
  <c r="L61"/>
  <c r="M61"/>
  <c r="N61"/>
  <c r="L63"/>
  <c r="M63"/>
  <c r="N63"/>
  <c r="L65"/>
  <c r="M65"/>
  <c r="N65"/>
  <c r="L67"/>
  <c r="M67"/>
  <c r="N67"/>
  <c r="L69"/>
  <c r="M69"/>
  <c r="N69"/>
  <c r="L71"/>
  <c r="M71"/>
  <c r="N71"/>
  <c r="L73"/>
  <c r="M73"/>
  <c r="N73"/>
  <c r="L17"/>
  <c r="M17"/>
  <c r="N17"/>
  <c r="N15"/>
  <c r="M15"/>
  <c r="L15"/>
  <c r="L14" i="9" l="1"/>
  <c r="E16"/>
  <c r="L16"/>
  <c r="S16" s="1"/>
  <c r="O32" i="1" s="1"/>
  <c r="E18" i="9"/>
  <c r="M38" i="18"/>
  <c r="M39"/>
  <c r="Q59"/>
  <c r="O42" i="1"/>
  <c r="M58" i="18"/>
  <c r="O40" i="1"/>
  <c r="Q58" i="18"/>
  <c r="Q54" l="1"/>
  <c r="M54"/>
  <c r="Q55"/>
  <c r="M53"/>
  <c r="S14" i="9"/>
  <c r="AA17" i="2"/>
  <c r="AA19"/>
  <c r="AA21"/>
  <c r="AA23"/>
  <c r="AA15"/>
  <c r="Q53" i="18" l="1"/>
  <c r="O30" i="1"/>
  <c r="E14" i="3"/>
  <c r="E16" l="1"/>
  <c r="N14" l="1"/>
  <c r="N16" s="1"/>
  <c r="AC32" i="5"/>
  <c r="AC30"/>
  <c r="AC28"/>
  <c r="AC26"/>
  <c r="AD37" s="1"/>
  <c r="AC24"/>
  <c r="AC22"/>
  <c r="AC20"/>
  <c r="S65"/>
  <c r="T60" s="1"/>
  <c r="V60" s="1"/>
  <c r="S41"/>
  <c r="T25" s="1"/>
  <c r="V25" s="1"/>
  <c r="F35" i="2"/>
  <c r="F37" s="1"/>
  <c r="F39" s="1"/>
  <c r="N5" l="1"/>
  <c r="S5" s="1"/>
  <c r="AC29"/>
  <c r="N18" i="3"/>
  <c r="AC27" i="2"/>
  <c r="AD40" i="5"/>
  <c r="AD41"/>
  <c r="T23"/>
  <c r="V23" s="1"/>
  <c r="T27"/>
  <c r="V27" s="1"/>
  <c r="T35"/>
  <c r="V35" s="1"/>
  <c r="T62"/>
  <c r="V62" s="1"/>
  <c r="T39"/>
  <c r="V39" s="1"/>
  <c r="T31"/>
  <c r="V31" s="1"/>
  <c r="S92"/>
  <c r="T89" s="1"/>
  <c r="V89" s="1"/>
  <c r="T37"/>
  <c r="V37" s="1"/>
  <c r="T29"/>
  <c r="V29" s="1"/>
  <c r="T58"/>
  <c r="V58" s="1"/>
  <c r="T21"/>
  <c r="V21" s="1"/>
  <c r="T33"/>
  <c r="V33" s="1"/>
  <c r="T56"/>
  <c r="E47"/>
  <c r="E20"/>
  <c r="N20" i="3" l="1"/>
  <c r="N22" s="1"/>
  <c r="V41" i="5"/>
  <c r="V46" s="1"/>
  <c r="T45" s="1"/>
  <c r="V56"/>
  <c r="V65" s="1"/>
  <c r="V69" s="1"/>
  <c r="T68" s="1"/>
  <c r="T83"/>
  <c r="V83" s="1"/>
  <c r="T79"/>
  <c r="V79" s="1"/>
  <c r="T81"/>
  <c r="V81" s="1"/>
  <c r="T87"/>
  <c r="V87" s="1"/>
  <c r="T85"/>
  <c r="V85" s="1"/>
  <c r="V92" l="1"/>
  <c r="V96" s="1"/>
  <c r="T95" s="1"/>
  <c r="U100" s="1"/>
  <c r="N24" i="3"/>
  <c r="V99" i="5" l="1"/>
  <c r="V100"/>
  <c r="N26" i="3"/>
  <c r="O14" i="1" l="1"/>
  <c r="N28" i="3"/>
  <c r="N30" l="1"/>
  <c r="O17" i="2"/>
  <c r="O19"/>
  <c r="O21"/>
  <c r="O23"/>
  <c r="O25"/>
  <c r="O27"/>
  <c r="O29"/>
  <c r="O31"/>
  <c r="O33"/>
  <c r="O35"/>
  <c r="O37"/>
  <c r="O39"/>
  <c r="O41"/>
  <c r="O43"/>
  <c r="O45"/>
  <c r="O47"/>
  <c r="O49"/>
  <c r="O51"/>
  <c r="O53"/>
  <c r="O55"/>
  <c r="O57"/>
  <c r="O59"/>
  <c r="O61"/>
  <c r="O63"/>
  <c r="O65"/>
  <c r="O67"/>
  <c r="O69"/>
  <c r="O71"/>
  <c r="O73"/>
  <c r="O15"/>
  <c r="O22" i="1" l="1"/>
  <c r="E35" i="5"/>
  <c r="O76" i="2"/>
  <c r="O78" s="1"/>
  <c r="N32" i="3"/>
  <c r="O30" s="1"/>
  <c r="P30" s="1"/>
  <c r="O20" i="1"/>
  <c r="Q71" i="2"/>
  <c r="P71"/>
  <c r="Q55"/>
  <c r="P55"/>
  <c r="P15"/>
  <c r="Q15"/>
  <c r="Q67"/>
  <c r="P67"/>
  <c r="Q59"/>
  <c r="P59"/>
  <c r="Q51"/>
  <c r="P51"/>
  <c r="Q43"/>
  <c r="P43"/>
  <c r="Q35"/>
  <c r="P35"/>
  <c r="Q27"/>
  <c r="P27"/>
  <c r="Q19"/>
  <c r="P19"/>
  <c r="P73"/>
  <c r="Q73"/>
  <c r="P65"/>
  <c r="Q65"/>
  <c r="P57"/>
  <c r="Q57"/>
  <c r="P49"/>
  <c r="Q49"/>
  <c r="P41"/>
  <c r="Q41"/>
  <c r="P33"/>
  <c r="Q33"/>
  <c r="P25"/>
  <c r="Q25"/>
  <c r="P17"/>
  <c r="Q17"/>
  <c r="Q63"/>
  <c r="P63"/>
  <c r="Q47"/>
  <c r="P47"/>
  <c r="Q39"/>
  <c r="P39"/>
  <c r="Q31"/>
  <c r="P31"/>
  <c r="Q23"/>
  <c r="P23"/>
  <c r="P69"/>
  <c r="Q69"/>
  <c r="P61"/>
  <c r="Q61"/>
  <c r="P53"/>
  <c r="Q53"/>
  <c r="P45"/>
  <c r="Q45"/>
  <c r="P37"/>
  <c r="Q37"/>
  <c r="P29"/>
  <c r="Q29"/>
  <c r="P21"/>
  <c r="Q21"/>
  <c r="AD25" l="1"/>
  <c r="AF25" s="1"/>
  <c r="AG25" s="1"/>
  <c r="AD17"/>
  <c r="AF17" s="1"/>
  <c r="AD27"/>
  <c r="AF27" s="1"/>
  <c r="AG27" s="1"/>
  <c r="AI27" s="1"/>
  <c r="AD19"/>
  <c r="AF19" s="1"/>
  <c r="AD29"/>
  <c r="AF29" s="1"/>
  <c r="AG29" s="1"/>
  <c r="AI29" s="1"/>
  <c r="AD21"/>
  <c r="AF21" s="1"/>
  <c r="AD23"/>
  <c r="AF23" s="1"/>
  <c r="AG23" s="1"/>
  <c r="AD15"/>
  <c r="AF15" s="1"/>
  <c r="O32" i="3"/>
  <c r="P32" s="1"/>
  <c r="O16"/>
  <c r="P16" s="1"/>
  <c r="D10" i="17" s="1"/>
  <c r="B81" i="18" s="1"/>
  <c r="O18" i="3"/>
  <c r="P18" s="1"/>
  <c r="D11" i="17" s="1"/>
  <c r="B82" i="18" s="1"/>
  <c r="O20" i="3"/>
  <c r="P20" s="1"/>
  <c r="D12" i="17" s="1"/>
  <c r="B83" i="18" s="1"/>
  <c r="O22" i="3"/>
  <c r="P22" s="1"/>
  <c r="D13" i="17" s="1"/>
  <c r="B84" i="18" s="1"/>
  <c r="O24" i="3"/>
  <c r="P24" s="1"/>
  <c r="D14" i="17" s="1"/>
  <c r="B85" i="18" s="1"/>
  <c r="O26" i="3"/>
  <c r="P26" s="1"/>
  <c r="O28"/>
  <c r="P28" s="1"/>
  <c r="R29" i="2"/>
  <c r="R45"/>
  <c r="R61"/>
  <c r="R25"/>
  <c r="R41"/>
  <c r="R57"/>
  <c r="R73"/>
  <c r="R15"/>
  <c r="R21"/>
  <c r="R37"/>
  <c r="R53"/>
  <c r="R69"/>
  <c r="R17"/>
  <c r="R33"/>
  <c r="R49"/>
  <c r="R65"/>
  <c r="R23"/>
  <c r="R39"/>
  <c r="R63"/>
  <c r="R27"/>
  <c r="R43"/>
  <c r="R59"/>
  <c r="R71"/>
  <c r="R31"/>
  <c r="R47"/>
  <c r="R19"/>
  <c r="R35"/>
  <c r="R51"/>
  <c r="R67"/>
  <c r="R55"/>
  <c r="AC25" l="1"/>
  <c r="AI25" s="1"/>
  <c r="AC17"/>
  <c r="AC19"/>
  <c r="AC23"/>
  <c r="AI23" s="1"/>
  <c r="AC21"/>
  <c r="AG19"/>
  <c r="AG17"/>
  <c r="AG15"/>
  <c r="AI15" s="1"/>
  <c r="AG21"/>
  <c r="O12" i="1"/>
  <c r="AI19" i="2" l="1"/>
  <c r="AI21"/>
  <c r="AI17"/>
  <c r="O10" i="1"/>
  <c r="E24" i="9"/>
  <c r="E18" i="3" l="1"/>
  <c r="E20" l="1"/>
  <c r="E22" l="1"/>
  <c r="E24" l="1"/>
  <c r="E26" l="1"/>
  <c r="F14" l="1"/>
  <c r="G14" s="1"/>
  <c r="D11" i="13" s="1"/>
  <c r="B59" i="18" s="1"/>
  <c r="F16" i="3"/>
  <c r="G16" s="1"/>
  <c r="D12" i="13" s="1"/>
  <c r="B60" i="18" s="1"/>
  <c r="F26" i="3"/>
  <c r="G26" s="1"/>
  <c r="D17" i="13" s="1"/>
  <c r="B65" i="18" s="1"/>
  <c r="F18" i="3"/>
  <c r="G18" s="1"/>
  <c r="D13" i="13" s="1"/>
  <c r="B61" i="18" s="1"/>
  <c r="F20" i="3"/>
  <c r="G20" s="1"/>
  <c r="D14" i="13" s="1"/>
  <c r="B62" i="18" s="1"/>
  <c r="F22" i="3"/>
  <c r="G22" s="1"/>
  <c r="F24"/>
  <c r="G24" s="1"/>
  <c r="D16" i="13" s="1"/>
  <c r="B64" i="18" s="1"/>
  <c r="O14" i="3"/>
  <c r="P14" s="1"/>
  <c r="D9" i="17" s="1"/>
  <c r="B80" i="18" s="1"/>
  <c r="D15" i="13" l="1"/>
  <c r="B63" i="18" s="1"/>
  <c r="O34" i="3"/>
  <c r="O37" s="1"/>
  <c r="Q38" i="18" s="1"/>
  <c r="F28" i="3"/>
  <c r="F31" s="1"/>
  <c r="Q30" i="18" s="1"/>
  <c r="K21" l="1"/>
  <c r="C53" s="1"/>
  <c r="C63" s="1"/>
  <c r="A60" l="1"/>
  <c r="A59"/>
  <c r="A62"/>
  <c r="C59"/>
  <c r="C65"/>
  <c r="A65"/>
  <c r="A61"/>
  <c r="C62"/>
  <c r="C61"/>
  <c r="C64"/>
  <c r="E17" i="5"/>
  <c r="E24" s="1"/>
  <c r="E38" s="1"/>
  <c r="E51" s="1"/>
  <c r="E54" s="1"/>
  <c r="L4" s="1"/>
  <c r="E26" i="9" s="1"/>
  <c r="L22" s="1"/>
  <c r="A64" i="18"/>
  <c r="A63"/>
  <c r="C60"/>
  <c r="L33" i="9" l="1"/>
  <c r="S22"/>
  <c r="S33" s="1"/>
  <c r="O18" i="1"/>
  <c r="M57" i="18"/>
  <c r="L37" i="5"/>
  <c r="L38" s="1"/>
  <c r="L5"/>
  <c r="E28" i="9" s="1"/>
  <c r="L20" s="1"/>
  <c r="S18" s="1"/>
  <c r="S20" l="1"/>
  <c r="S32" s="1"/>
  <c r="L32"/>
  <c r="O34" i="1"/>
  <c r="O38"/>
  <c r="Q57" i="18"/>
  <c r="O16" i="1"/>
  <c r="M56" i="18"/>
  <c r="Q56" l="1"/>
  <c r="O36" i="1"/>
</calcChain>
</file>

<file path=xl/sharedStrings.xml><?xml version="1.0" encoding="utf-8"?>
<sst xmlns="http://schemas.openxmlformats.org/spreadsheetml/2006/main" count="907" uniqueCount="542">
  <si>
    <t>Sample No.</t>
  </si>
  <si>
    <t xml:space="preserve">15 cm Cube Strength </t>
  </si>
  <si>
    <t>Sr.No. (1)</t>
  </si>
  <si>
    <t>i)</t>
  </si>
  <si>
    <t>ii)</t>
  </si>
  <si>
    <t>iii)</t>
  </si>
  <si>
    <t>iv)</t>
  </si>
  <si>
    <t>v)</t>
  </si>
  <si>
    <t>vi)</t>
  </si>
  <si>
    <t>vii)</t>
  </si>
  <si>
    <t>viii)</t>
  </si>
  <si>
    <t>ix)</t>
  </si>
  <si>
    <t>x)</t>
  </si>
  <si>
    <t>M</t>
  </si>
  <si>
    <t>Average</t>
  </si>
  <si>
    <t>Cumulative %</t>
  </si>
  <si>
    <t>IS Sieve Designation (mm)</t>
  </si>
  <si>
    <t>Percentage Passing For</t>
  </si>
  <si>
    <t>X</t>
  </si>
  <si>
    <t>Y</t>
  </si>
  <si>
    <t>15% less</t>
  </si>
  <si>
    <t>15% More</t>
  </si>
  <si>
    <t>ACCEPTABILITY</t>
  </si>
  <si>
    <t>Grade of Concrete</t>
  </si>
  <si>
    <t>ASSUMED STANDARD DEVIATION</t>
  </si>
  <si>
    <t xml:space="preserve">TARGET STRENGTH FOR MIX PROPORTIONING  </t>
  </si>
  <si>
    <t>f'ck(N/mm2)</t>
  </si>
  <si>
    <t>Water Cement Ratio</t>
  </si>
  <si>
    <t>SR. NO</t>
  </si>
  <si>
    <t>TYPE OF AGGREGATE</t>
  </si>
  <si>
    <t>SR. NO.</t>
  </si>
  <si>
    <t>WATER CEMENT RATIO</t>
  </si>
  <si>
    <t>FLYASH</t>
  </si>
  <si>
    <t>CEMENT</t>
  </si>
  <si>
    <t>NOMINAL MAXIMUM</t>
  </si>
  <si>
    <t xml:space="preserve"> SIZE OF AGGREGATE</t>
  </si>
  <si>
    <t>(mm)</t>
  </si>
  <si>
    <t>ZONE</t>
  </si>
  <si>
    <t>MIX CALCULATIONS</t>
  </si>
  <si>
    <t>FINE AGGREGATE</t>
  </si>
  <si>
    <t>CHEMICAL ADMIXTURE</t>
  </si>
  <si>
    <t>Mild</t>
  </si>
  <si>
    <t>-</t>
  </si>
  <si>
    <t>M20</t>
  </si>
  <si>
    <t>Moderate</t>
  </si>
  <si>
    <t>M15</t>
  </si>
  <si>
    <t>M25</t>
  </si>
  <si>
    <t>Severe</t>
  </si>
  <si>
    <t>M30</t>
  </si>
  <si>
    <t>M35</t>
  </si>
  <si>
    <t>Extreme</t>
  </si>
  <si>
    <t>M40</t>
  </si>
  <si>
    <t>Specific Gravity of CA</t>
  </si>
  <si>
    <t>Specific Gravity of FA</t>
  </si>
  <si>
    <t>Exposure Condition</t>
  </si>
  <si>
    <t>Type of Aggregate</t>
  </si>
  <si>
    <t>Concrete</t>
  </si>
  <si>
    <t xml:space="preserve">Assumed Standard </t>
  </si>
  <si>
    <t xml:space="preserve">  Grade of </t>
  </si>
  <si>
    <t>I</t>
  </si>
  <si>
    <t>II</t>
  </si>
  <si>
    <t>III</t>
  </si>
  <si>
    <t>(N/mm^2)</t>
  </si>
  <si>
    <t>CLACULATED/UPDATED STANDARD DEVIATION</t>
  </si>
  <si>
    <t>ASSUMED STANDARD DEVIATION FOR GIVEN MIX</t>
  </si>
  <si>
    <t>f'ck = fck +1.65s</t>
  </si>
  <si>
    <t>CURVE COORDINATES</t>
  </si>
  <si>
    <t>VALUE BY EXPERIENCE</t>
  </si>
  <si>
    <t xml:space="preserve">MAXIMUM WATER </t>
  </si>
  <si>
    <t>CONTENT(kg)</t>
  </si>
  <si>
    <t xml:space="preserve">NOMINAL MAXIMUM </t>
  </si>
  <si>
    <t>SIZE OF AGG(mm)</t>
  </si>
  <si>
    <t>Maximum W.C.(Slump 25 to 50)</t>
  </si>
  <si>
    <t>%Increase for Given Slump</t>
  </si>
  <si>
    <t>Given Slump</t>
  </si>
  <si>
    <t>Estimated Water Content</t>
  </si>
  <si>
    <t>Nominal Maximum Size of Aggregate(mm)</t>
  </si>
  <si>
    <t>for Given Slump(l)</t>
  </si>
  <si>
    <t xml:space="preserve">Water Content Reduction from Admixture(%) </t>
  </si>
  <si>
    <t>REDUCTION IN</t>
  </si>
  <si>
    <t xml:space="preserve">WATER CONTENT(kg) </t>
  </si>
  <si>
    <t>Crushed Angular</t>
  </si>
  <si>
    <t>Sub Angular Aggregate</t>
  </si>
  <si>
    <t>Rounded Gravels</t>
  </si>
  <si>
    <t xml:space="preserve">REDUCTION IN WATER CONTENT DUE TO </t>
  </si>
  <si>
    <t>Gravels With Some Crushed Particles</t>
  </si>
  <si>
    <t>Reduction due to shape of aggregate</t>
  </si>
  <si>
    <t>Modified Water Content(kg)</t>
  </si>
  <si>
    <t>STEP 1 : CEMENTITIOUS MATERIAL CALCULATION</t>
  </si>
  <si>
    <t>Cementitious Material Content</t>
  </si>
  <si>
    <t>Minimum Cement Content</t>
  </si>
  <si>
    <t>Cementitious Material Content(kg/m^3)</t>
  </si>
  <si>
    <t>Water Content</t>
  </si>
  <si>
    <t>%of Fly-Ash to total Cementitious Material</t>
  </si>
  <si>
    <t>Fly-Ash Content</t>
  </si>
  <si>
    <t>Cement Contenet(OPC)</t>
  </si>
  <si>
    <t>STEP 2: CEMETITIOUS MAT. REPLACEMENT BY FLY ASH</t>
  </si>
  <si>
    <t>Sieve Designation(mm)</t>
  </si>
  <si>
    <t>%passing</t>
  </si>
  <si>
    <t>UB</t>
  </si>
  <si>
    <t>LB</t>
  </si>
  <si>
    <t>5</t>
  </si>
  <si>
    <t>20</t>
  </si>
  <si>
    <t>8</t>
  </si>
  <si>
    <t>12</t>
  </si>
  <si>
    <t>40</t>
  </si>
  <si>
    <t>15</t>
  </si>
  <si>
    <t>Zone of Sand</t>
  </si>
  <si>
    <t xml:space="preserve">Size </t>
  </si>
  <si>
    <t>Weight</t>
  </si>
  <si>
    <t>Retained</t>
  </si>
  <si>
    <t>Cumulative Weight</t>
  </si>
  <si>
    <t>Summation</t>
  </si>
  <si>
    <t>VOLUME OF CA PER UNIT VOL. OF TA</t>
  </si>
  <si>
    <t>FOR DIFFERENT ZONES OF FA</t>
  </si>
  <si>
    <t>Zone of FA</t>
  </si>
  <si>
    <t>Nominal Maximum Size</t>
  </si>
  <si>
    <t>of Aggregate</t>
  </si>
  <si>
    <t>Vol. of CA per unit vol of TA for</t>
  </si>
  <si>
    <t>given zone and CA nominal size</t>
  </si>
  <si>
    <t xml:space="preserve">WC ratio </t>
  </si>
  <si>
    <t>WC Correction</t>
  </si>
  <si>
    <t>Corrected FA Proportion</t>
  </si>
  <si>
    <t>Correction For Pumping</t>
  </si>
  <si>
    <t>Corrected CA Proportion</t>
  </si>
  <si>
    <t>Concrete is to be pumped</t>
  </si>
  <si>
    <t>Yes</t>
  </si>
  <si>
    <t>STEP 2: CORRECTION FOR GIVEN WC RATIO</t>
  </si>
  <si>
    <t>STEP 3: CORRECTION FOR PUMPING</t>
  </si>
  <si>
    <t>COARSE AGGREGATE</t>
  </si>
  <si>
    <r>
      <t xml:space="preserve">Volume of </t>
    </r>
    <r>
      <rPr>
        <b/>
        <sz val="11"/>
        <color theme="1"/>
        <rFont val="Calibri"/>
        <family val="2"/>
        <scheme val="minor"/>
      </rPr>
      <t>CONCRETE</t>
    </r>
    <r>
      <rPr>
        <sz val="11"/>
        <color theme="1"/>
        <rFont val="Calibri"/>
        <family val="2"/>
        <scheme val="minor"/>
      </rPr>
      <t>(m^3)</t>
    </r>
  </si>
  <si>
    <r>
      <t xml:space="preserve">Volume of </t>
    </r>
    <r>
      <rPr>
        <b/>
        <sz val="11"/>
        <color theme="1"/>
        <rFont val="Calibri"/>
        <family val="2"/>
        <scheme val="minor"/>
      </rPr>
      <t>CEMENT</t>
    </r>
    <r>
      <rPr>
        <sz val="11"/>
        <color theme="1"/>
        <rFont val="Calibri"/>
        <family val="2"/>
        <scheme val="minor"/>
      </rPr>
      <t>(m^3)</t>
    </r>
  </si>
  <si>
    <r>
      <t xml:space="preserve">Volume of </t>
    </r>
    <r>
      <rPr>
        <b/>
        <sz val="11"/>
        <color theme="1"/>
        <rFont val="Calibri"/>
        <family val="2"/>
        <scheme val="minor"/>
      </rPr>
      <t>FLY ASH</t>
    </r>
    <r>
      <rPr>
        <sz val="11"/>
        <color theme="1"/>
        <rFont val="Calibri"/>
        <family val="2"/>
        <scheme val="minor"/>
      </rPr>
      <t>(m^3)</t>
    </r>
  </si>
  <si>
    <r>
      <t xml:space="preserve">Volume of </t>
    </r>
    <r>
      <rPr>
        <b/>
        <sz val="11"/>
        <color theme="1"/>
        <rFont val="Calibri"/>
        <family val="2"/>
        <scheme val="minor"/>
      </rPr>
      <t>CHEMICAL ADMIX.</t>
    </r>
    <r>
      <rPr>
        <sz val="11"/>
        <color theme="1"/>
        <rFont val="Calibri"/>
        <family val="2"/>
        <scheme val="minor"/>
      </rPr>
      <t>(m^3)</t>
    </r>
  </si>
  <si>
    <r>
      <t xml:space="preserve">Volume of </t>
    </r>
    <r>
      <rPr>
        <b/>
        <sz val="11"/>
        <color theme="1"/>
        <rFont val="Calibri"/>
        <family val="2"/>
        <scheme val="minor"/>
      </rPr>
      <t>ALL IN AGGREGATE</t>
    </r>
    <r>
      <rPr>
        <sz val="11"/>
        <color theme="1"/>
        <rFont val="Calibri"/>
        <family val="2"/>
        <scheme val="minor"/>
      </rPr>
      <t>(m^3)</t>
    </r>
  </si>
  <si>
    <r>
      <t xml:space="preserve">Volume of </t>
    </r>
    <r>
      <rPr>
        <b/>
        <sz val="11"/>
        <color theme="1"/>
        <rFont val="Calibri"/>
        <family val="2"/>
        <scheme val="minor"/>
      </rPr>
      <t>WATER.</t>
    </r>
    <r>
      <rPr>
        <sz val="11"/>
        <color theme="1"/>
        <rFont val="Calibri"/>
        <family val="2"/>
        <scheme val="minor"/>
      </rPr>
      <t>(m^3)</t>
    </r>
  </si>
  <si>
    <t>GENERAL</t>
  </si>
  <si>
    <t>Type of Cement</t>
  </si>
  <si>
    <t>Max.Nominal Size of Agg.(mm)</t>
  </si>
  <si>
    <t>Workability(Slump)(mm)</t>
  </si>
  <si>
    <t>Chemical Admixture</t>
  </si>
  <si>
    <t>ADMIXTURE</t>
  </si>
  <si>
    <t>FlyAsh</t>
  </si>
  <si>
    <t>Cementitious Mat. Replacement</t>
  </si>
  <si>
    <t>By FlyAsh</t>
  </si>
  <si>
    <t>CEMENTITIOUS MATERIAL</t>
  </si>
  <si>
    <t xml:space="preserve">Percentage Increase in Cementitious </t>
  </si>
  <si>
    <t xml:space="preserve">Percentage FlyAsh Replacement </t>
  </si>
  <si>
    <t>Specific Gravity of FlyAsh</t>
  </si>
  <si>
    <t>Specific Gravity of Admixture</t>
  </si>
  <si>
    <t>Percentage Reduction in Water Content</t>
  </si>
  <si>
    <t>due to Admixture</t>
  </si>
  <si>
    <t>Percentage of Admixture by weight of</t>
  </si>
  <si>
    <t>Cementitious Material</t>
  </si>
  <si>
    <t>SuperPlasticizer</t>
  </si>
  <si>
    <t>MIX DESIGN BY IS 10262 -2009</t>
  </si>
  <si>
    <t>MASTER SHEET</t>
  </si>
  <si>
    <t>Concrete Pumping</t>
  </si>
  <si>
    <t>FINE  AGGREGATE</t>
  </si>
  <si>
    <t>Cement</t>
  </si>
  <si>
    <t>Fine Aggregate</t>
  </si>
  <si>
    <t>Coarse Aggregate</t>
  </si>
  <si>
    <t>Water-Cement Ratio</t>
  </si>
  <si>
    <t>Content</t>
  </si>
  <si>
    <t>Grade of</t>
  </si>
  <si>
    <t>Free W/C</t>
  </si>
  <si>
    <t xml:space="preserve">Cement </t>
  </si>
  <si>
    <t xml:space="preserve">Minimum </t>
  </si>
  <si>
    <t xml:space="preserve">Maximum </t>
  </si>
  <si>
    <t xml:space="preserve">                          Reinforced Concrete                           </t>
  </si>
  <si>
    <t xml:space="preserve"> Plain Concrete</t>
  </si>
  <si>
    <t>CHECK FOR MAX. FREE W/C RATIO</t>
  </si>
  <si>
    <t xml:space="preserve">WC Ratio Selected </t>
  </si>
  <si>
    <t>Type of Concrete</t>
  </si>
  <si>
    <t xml:space="preserve">Type of Concrete </t>
  </si>
  <si>
    <t>WC ration</t>
  </si>
  <si>
    <t>Corresponding Max Free</t>
  </si>
  <si>
    <t>Very Severe</t>
  </si>
  <si>
    <t>Strength(N/mm^2)</t>
  </si>
  <si>
    <t>Char. Compressive</t>
  </si>
  <si>
    <t>Specific Gravity of Cement</t>
  </si>
  <si>
    <t xml:space="preserve">Deviation </t>
  </si>
  <si>
    <t>Weight Retained</t>
  </si>
  <si>
    <t>retained</t>
  </si>
  <si>
    <t>80-40mm</t>
  </si>
  <si>
    <t>40-20mm</t>
  </si>
  <si>
    <t>20-10mm</t>
  </si>
  <si>
    <t>10-4.75mm</t>
  </si>
  <si>
    <t>4.75-2.36mm</t>
  </si>
  <si>
    <t>2.36-1.18mm</t>
  </si>
  <si>
    <t>1.18-600microns</t>
  </si>
  <si>
    <t>600-300microns</t>
  </si>
  <si>
    <t>300-150microns</t>
  </si>
  <si>
    <t>smaller than 150 microns</t>
  </si>
  <si>
    <t>Total</t>
  </si>
  <si>
    <t>Add Constant</t>
  </si>
  <si>
    <t xml:space="preserve">Surface </t>
  </si>
  <si>
    <t>Index</t>
  </si>
  <si>
    <t>Surface Index for Combined Particles</t>
  </si>
  <si>
    <t xml:space="preserve">Surface Index </t>
  </si>
  <si>
    <t>of Particles</t>
  </si>
  <si>
    <t>Fine Aggregate Size</t>
  </si>
  <si>
    <t xml:space="preserve"> Retained</t>
  </si>
  <si>
    <t>TOTAL</t>
  </si>
  <si>
    <t>FA</t>
  </si>
  <si>
    <t>CA</t>
  </si>
  <si>
    <t>CA:FA</t>
  </si>
  <si>
    <t>% VOIDS</t>
  </si>
  <si>
    <t>80-20</t>
  </si>
  <si>
    <t>70-30</t>
  </si>
  <si>
    <t>60-40</t>
  </si>
  <si>
    <t>50-50</t>
  </si>
  <si>
    <t>40-60</t>
  </si>
  <si>
    <t>30-70</t>
  </si>
  <si>
    <t>20-80</t>
  </si>
  <si>
    <t>Retaining</t>
  </si>
  <si>
    <t>STEP 1: SURFACE INDEX FOR COMBINED PARTICLES</t>
  </si>
  <si>
    <t xml:space="preserve">Mean of </t>
  </si>
  <si>
    <t>Group</t>
  </si>
  <si>
    <t>Individual Test</t>
  </si>
  <si>
    <t>Check</t>
  </si>
  <si>
    <t>Group Test</t>
  </si>
  <si>
    <t>1st Check</t>
  </si>
  <si>
    <t>2nd Check</t>
  </si>
  <si>
    <t xml:space="preserve">Required </t>
  </si>
  <si>
    <t>value</t>
  </si>
  <si>
    <t>(M-)</t>
  </si>
  <si>
    <t>Poor</t>
  </si>
  <si>
    <t>Standard Deviation(At Proper Quality Control)</t>
  </si>
  <si>
    <t>Standard Deviation(At Given Conditionl)</t>
  </si>
  <si>
    <t>Site Control</t>
  </si>
  <si>
    <t>Water Absorption(In Percentage)</t>
  </si>
  <si>
    <t>Surface Moisture(In Percentage)</t>
  </si>
  <si>
    <t>Coarse Aggrgate</t>
  </si>
  <si>
    <t>FINAL MIX(in kg/m^3) AT SSD CONDITION</t>
  </si>
  <si>
    <t>WATER AT SSD CONDITION</t>
  </si>
  <si>
    <t xml:space="preserve">FINAL MIX(in kg/m^3) </t>
  </si>
  <si>
    <t>ACCEPTENCE CRITERIA (as per IS 45-2000)</t>
  </si>
  <si>
    <t>Value</t>
  </si>
  <si>
    <t>Greater</t>
  </si>
  <si>
    <t>Passing</t>
  </si>
  <si>
    <t>Fineness Modulus(CA)</t>
  </si>
  <si>
    <t>Fineness Modulus(FA)</t>
  </si>
  <si>
    <t>(kg)</t>
  </si>
  <si>
    <t>MIX DESIGN BY IS 10262 -2009 - SHEET NO. #</t>
  </si>
  <si>
    <t xml:space="preserve">RELATIVE PROPORTION OF FA &amp; CA TO TOTAL AGG. </t>
  </si>
  <si>
    <t xml:space="preserve">METHOD CHOSEN </t>
  </si>
  <si>
    <t xml:space="preserve">METHOD 1 : ISI METHOD </t>
  </si>
  <si>
    <r>
      <t>(600-300)</t>
    </r>
    <r>
      <rPr>
        <sz val="11"/>
        <color theme="1"/>
        <rFont val="Calibri"/>
        <family val="2"/>
      </rPr>
      <t>μ</t>
    </r>
  </si>
  <si>
    <t>1.18mm-600μ</t>
  </si>
  <si>
    <t>(2.36-1.18)mm</t>
  </si>
  <si>
    <t>(4.75-2.36)mm</t>
  </si>
  <si>
    <t>(10-4.75)mm</t>
  </si>
  <si>
    <t>(20-10)mm</t>
  </si>
  <si>
    <t>(40-20)mm</t>
  </si>
  <si>
    <t>(80-40)mm</t>
  </si>
  <si>
    <t>(300-150)μ</t>
  </si>
  <si>
    <r>
      <rPr>
        <sz val="11"/>
        <color theme="1"/>
        <rFont val="Calibri"/>
        <family val="2"/>
      </rPr>
      <t xml:space="preserve">&lt; </t>
    </r>
    <r>
      <rPr>
        <sz val="11"/>
        <color theme="1"/>
        <rFont val="Calibri"/>
        <family val="2"/>
        <scheme val="minor"/>
      </rPr>
      <t>150μ</t>
    </r>
  </si>
  <si>
    <t xml:space="preserve">% Weight </t>
  </si>
  <si>
    <t>Surface Index</t>
  </si>
  <si>
    <t xml:space="preserve">METHOD 2 : SURFACE INDEX METHOD </t>
  </si>
  <si>
    <t>STEP 3 : SURFACE INDEX OF FINE AGGREGATE</t>
  </si>
  <si>
    <t xml:space="preserve"> of Particles </t>
  </si>
  <si>
    <t>Coarse Aggregate Size</t>
  </si>
  <si>
    <t>( kg)</t>
  </si>
  <si>
    <t>% Weight</t>
  </si>
  <si>
    <t xml:space="preserve">CA </t>
  </si>
  <si>
    <t>METHOD 3 : VOID RATIO  METHOD</t>
  </si>
  <si>
    <t>RATIO(FA:CA)</t>
  </si>
  <si>
    <t>SNO.</t>
  </si>
  <si>
    <t>MIX DESIGN BY IS 10262 -2009- SHEET NO. #</t>
  </si>
  <si>
    <t>CEMENT CONTENT</t>
  </si>
  <si>
    <t>FINENESS MODULUS CALCULATION</t>
  </si>
  <si>
    <t>FINE AGGREGATE GRADING</t>
  </si>
  <si>
    <t xml:space="preserve">MIX CALCULATIONS </t>
  </si>
  <si>
    <t>`</t>
  </si>
  <si>
    <t xml:space="preserve">28 DAY CUBE STRENGTH for (150x150x150)mm  </t>
  </si>
  <si>
    <t>Sieve Size</t>
  </si>
  <si>
    <t>SIEVE ANALYSIS RESULTS</t>
  </si>
  <si>
    <t>VOID RATIO ANALYSIS</t>
  </si>
  <si>
    <t>%VOIDS FOR DIFFERENT CA TO FA RATIO</t>
  </si>
  <si>
    <t xml:space="preserve">TYPICAL STANDARD DEVIATION VALUES </t>
  </si>
  <si>
    <t xml:space="preserve">Laboratory Presicison </t>
  </si>
  <si>
    <t>Excellent</t>
  </si>
  <si>
    <t>High</t>
  </si>
  <si>
    <t>Very Good</t>
  </si>
  <si>
    <t xml:space="preserve">Good </t>
  </si>
  <si>
    <t>Uncontrolled</t>
  </si>
  <si>
    <t>Fair</t>
  </si>
  <si>
    <t>Standard Dev. By</t>
  </si>
  <si>
    <t>IV</t>
  </si>
  <si>
    <t>Zone I</t>
  </si>
  <si>
    <t>Zone II</t>
  </si>
  <si>
    <t>Zone III</t>
  </si>
  <si>
    <t>Zone IV</t>
  </si>
  <si>
    <t>STEP 2 : SURFACE INDEX FOR COARSE AGG</t>
  </si>
  <si>
    <t>STEP 3 : MODIFICATION DUE TO ADMIXTURE</t>
  </si>
  <si>
    <t>&gt;80 mm</t>
  </si>
  <si>
    <t xml:space="preserve">Choose the desired 28 days cube strength </t>
  </si>
  <si>
    <t xml:space="preserve">from the drop down menu </t>
  </si>
  <si>
    <t>AGGREGATE</t>
  </si>
  <si>
    <t xml:space="preserve">Enter the desired slump value required </t>
  </si>
  <si>
    <t>(in mm)</t>
  </si>
  <si>
    <t>Choose the exposure condition from dropdown</t>
  </si>
  <si>
    <t>(Conditions are asper IS 456,Table 5)</t>
  </si>
  <si>
    <t xml:space="preserve">Specify whether the concrete will be pumped </t>
  </si>
  <si>
    <t>or not, using the dropdown</t>
  </si>
  <si>
    <t xml:space="preserve">Method of Choosing Standard </t>
  </si>
  <si>
    <t>Choose the method to calculate std.dev</t>
  </si>
  <si>
    <t>Enter the value by user in adjacent cell,if opted</t>
  </si>
  <si>
    <t>Assumed Stddev</t>
  </si>
  <si>
    <t>Method of Selecting W/C ratio</t>
  </si>
  <si>
    <t>Choose the method to choose W/C ratio</t>
  </si>
  <si>
    <t xml:space="preserve">Method of Aggregate Proportioning </t>
  </si>
  <si>
    <t>Choose the method to proportion FA:CA from drop down</t>
  </si>
  <si>
    <t xml:space="preserve">Choose the type of cement to be used </t>
  </si>
  <si>
    <t>Choose the maximum nominal size of aggregate</t>
  </si>
  <si>
    <t xml:space="preserve">Enter the specific gravity of the Coarse Aggregate </t>
  </si>
  <si>
    <t>Enter the Water Absorption of Coarse Aggregate</t>
  </si>
  <si>
    <t>(w.r.t SSD condition)</t>
  </si>
  <si>
    <t>Enter the Water Absorption of Fine Aggregate</t>
  </si>
  <si>
    <t>Enter the Surface Moisture of Coarse Aggregate</t>
  </si>
  <si>
    <r>
      <t xml:space="preserve">Material </t>
    </r>
    <r>
      <rPr>
        <b/>
        <i/>
        <sz val="11"/>
        <color theme="1"/>
        <rFont val="Calibri"/>
        <family val="2"/>
        <scheme val="minor"/>
      </rPr>
      <t>(based on experience)</t>
    </r>
  </si>
  <si>
    <t>Weight Of Sample(In g)</t>
  </si>
  <si>
    <t>28 Days</t>
  </si>
  <si>
    <t>7 Days</t>
  </si>
  <si>
    <t>Specific Gravity</t>
  </si>
  <si>
    <t>3 Days</t>
  </si>
  <si>
    <t xml:space="preserve">Weight Of Sample Divided By </t>
  </si>
  <si>
    <t>Sample 3</t>
  </si>
  <si>
    <t>Sample 2</t>
  </si>
  <si>
    <t>Sample 1</t>
  </si>
  <si>
    <t>Testing Period</t>
  </si>
  <si>
    <t>Cover The Sample(in ml)</t>
  </si>
  <si>
    <t>Volume Of Water Required To</t>
  </si>
  <si>
    <t>Aggregate In Air</t>
  </si>
  <si>
    <t>And Water (in ml)</t>
  </si>
  <si>
    <t xml:space="preserve">The Weight Of Oven Dried </t>
  </si>
  <si>
    <t xml:space="preserve">Combined Volume Of Sample </t>
  </si>
  <si>
    <t>Surface Dry Aggregate In Air(In g)</t>
  </si>
  <si>
    <t xml:space="preserve">The Weight Of The Saturated </t>
  </si>
  <si>
    <t>Depth Of Sand In Water(in cm)</t>
  </si>
  <si>
    <t>Depth Of Sand(in cm)</t>
  </si>
  <si>
    <t>(in g)</t>
  </si>
  <si>
    <t>Weight Of Oven Dried Sample</t>
  </si>
  <si>
    <t>Only (in g)</t>
  </si>
  <si>
    <t>Boiling Water For 3 Hours(in mm)</t>
  </si>
  <si>
    <t>Jar Filled With Distilled Water</t>
  </si>
  <si>
    <t>After Immersing Assembly In</t>
  </si>
  <si>
    <t xml:space="preserve">Weight Of Pycnometer Or Gas </t>
  </si>
  <si>
    <t>Distance Between Indicator Point</t>
  </si>
  <si>
    <t>Filled With Distilled Water(in g)</t>
  </si>
  <si>
    <t>Water For 24 Hours(in mm)</t>
  </si>
  <si>
    <t xml:space="preserve">Jar Containing Sample And </t>
  </si>
  <si>
    <t xml:space="preserve">Weight Of Pycnometer or Gas </t>
  </si>
  <si>
    <t>Dry Sample (in g)</t>
  </si>
  <si>
    <t xml:space="preserve">Weight Of Saturated Surface </t>
  </si>
  <si>
    <t>Aggrgates Less Than 10mm</t>
  </si>
  <si>
    <t>From Top(in ml)</t>
  </si>
  <si>
    <t>Plunger Penetration Of 33-35mm</t>
  </si>
  <si>
    <t>Water Content Required For</t>
  </si>
  <si>
    <t>Weight Of Sample(in grams)</t>
  </si>
  <si>
    <t>Residue left On Sieve(in grams)</t>
  </si>
  <si>
    <t>Grade Of Cement</t>
  </si>
  <si>
    <r>
      <t>Enter the 28 day Cube Strength(N/mm</t>
    </r>
    <r>
      <rPr>
        <i/>
        <sz val="9"/>
        <color rgb="FF7F7F7F"/>
        <rFont val="Calibri"/>
        <family val="2"/>
        <scheme val="minor"/>
      </rPr>
      <t>2</t>
    </r>
    <r>
      <rPr>
        <i/>
        <sz val="11"/>
        <color rgb="FF7F7F7F"/>
        <rFont val="Calibri"/>
        <family val="2"/>
        <scheme val="minor"/>
      </rPr>
      <t>)  for "</t>
    </r>
    <r>
      <rPr>
        <i/>
        <u/>
        <sz val="11"/>
        <color rgb="FF7F7F7F"/>
        <rFont val="Calibri"/>
        <family val="2"/>
        <scheme val="minor"/>
      </rPr>
      <t>One sample comprising of 3 Cube Results</t>
    </r>
    <r>
      <rPr>
        <i/>
        <sz val="11"/>
        <color rgb="FF7F7F7F"/>
        <rFont val="Calibri"/>
        <family val="2"/>
        <scheme val="minor"/>
      </rPr>
      <t xml:space="preserve">"  </t>
    </r>
  </si>
  <si>
    <t>SIEVE ANALYSIS OF COMBINED AGGREGATE</t>
  </si>
  <si>
    <t>SIEVE ANALYSIS OF COARSE AGGREGATE ONLY</t>
  </si>
  <si>
    <t>SIEVE ANALYSIS OF  FINE AGGREGATE ONLY</t>
  </si>
  <si>
    <t>FINENESS TEST</t>
  </si>
  <si>
    <t>STANDARD CONSISTENCY ( by VICAT'S APPARATUS)</t>
  </si>
  <si>
    <t>SOUNDNESS (by LE CHATLIER APPARATUS)</t>
  </si>
  <si>
    <t>SETTING TIME (by VICAT'S APPARATUS)</t>
  </si>
  <si>
    <t xml:space="preserve">STRENGTH TEST </t>
  </si>
  <si>
    <t>Compressive Strength(in MPa)</t>
  </si>
  <si>
    <t xml:space="preserve">Time Elapse between the </t>
  </si>
  <si>
    <t>addition of water and</t>
  </si>
  <si>
    <t>obtaining a penetration of 33-35</t>
  </si>
  <si>
    <t>from top(in mins)</t>
  </si>
  <si>
    <t xml:space="preserve">Time Elapse Between The </t>
  </si>
  <si>
    <t xml:space="preserve">Addition of Water and  </t>
  </si>
  <si>
    <t>0.05mm from top(in mins)</t>
  </si>
  <si>
    <t xml:space="preserve">doesn't pierce more than  </t>
  </si>
  <si>
    <t xml:space="preserve">at which the Circular Attachment </t>
  </si>
  <si>
    <t>SPECIFIC GRAVITY AND WATER ABSORPTION</t>
  </si>
  <si>
    <t>BULKING OF SAND</t>
  </si>
  <si>
    <t>SURFACE MOISTURE</t>
  </si>
  <si>
    <t>FINENESS MODULUS FOR FINE AGGREGATES</t>
  </si>
  <si>
    <t>FINENESS MODULUS FOR COARSE AGGREGATE</t>
  </si>
  <si>
    <t>Standard Deviation</t>
  </si>
  <si>
    <t>Rounded Off</t>
  </si>
  <si>
    <r>
      <t xml:space="preserve">TEST RESULTS (FOUR </t>
    </r>
    <r>
      <rPr>
        <b/>
        <u/>
        <sz val="11"/>
        <color theme="1"/>
        <rFont val="Calibri"/>
        <family val="2"/>
        <scheme val="minor"/>
      </rPr>
      <t>NON-OVERLAPPING</t>
    </r>
    <r>
      <rPr>
        <b/>
        <sz val="11"/>
        <color theme="1"/>
        <rFont val="Calibri"/>
        <family val="2"/>
        <scheme val="minor"/>
      </rPr>
      <t xml:space="preserve">, </t>
    </r>
    <r>
      <rPr>
        <b/>
        <u/>
        <sz val="11"/>
        <color theme="1"/>
        <rFont val="Calibri"/>
        <family val="2"/>
        <scheme val="minor"/>
      </rPr>
      <t>INTERNALLY CONSISTENT</t>
    </r>
    <r>
      <rPr>
        <b/>
        <sz val="11"/>
        <color theme="1"/>
        <rFont val="Calibri"/>
        <family val="2"/>
        <scheme val="minor"/>
      </rPr>
      <t xml:space="preserve"> SAMPLES)</t>
    </r>
  </si>
  <si>
    <t>IS 383 - ZONS OF FINE AGGREGATE</t>
  </si>
  <si>
    <t>TEST RESULTS OF SIEVE ANALYSIS(CA)</t>
  </si>
  <si>
    <t>TEST RESULTS PF SIEVE ANALYSIS(FA)</t>
  </si>
  <si>
    <t>IS 383 - TABLE 2 FOR CA</t>
  </si>
  <si>
    <t>Sieve Size(mm)</t>
  </si>
  <si>
    <t>STEP 1: RELATIVE CA/FA PROPORTION FOR WC = 0.5</t>
  </si>
  <si>
    <t>VOLUME OF CA PER UNIT VOLUME OF TA FOR DIFFERENT ZONES OF FA (*for WC=0.5)</t>
  </si>
  <si>
    <t xml:space="preserve">Grade Designation of Concrete </t>
  </si>
  <si>
    <t>Workability(mm of Slump)</t>
  </si>
  <si>
    <t>ExposureCondition</t>
  </si>
  <si>
    <t>:</t>
  </si>
  <si>
    <t xml:space="preserve">Mix Design By IS 10262-2009                                                                                                                                                    Abstract Report </t>
  </si>
  <si>
    <t>Sieve sizes</t>
  </si>
  <si>
    <t>IS Method</t>
  </si>
  <si>
    <t>Relative Proportion of FA to CA by       ISI Method</t>
  </si>
  <si>
    <t>Relative Proportion of FA to CA by Surface Index Method</t>
  </si>
  <si>
    <t>RESULTS OF VOID RATIO ANALYSIS</t>
  </si>
  <si>
    <t>Optimum Ratio From Void Ratio Analysis</t>
  </si>
  <si>
    <t>Sno.</t>
  </si>
  <si>
    <t>Description</t>
  </si>
  <si>
    <t>Volume in m^3</t>
  </si>
  <si>
    <t>MIX PROPORTION FOR TRIAL 1(in kg/m^3)</t>
  </si>
  <si>
    <t>Sno</t>
  </si>
  <si>
    <t>Weight(kg/m^3)</t>
  </si>
  <si>
    <t xml:space="preserve"> IS 456 TABLE-5 Water Cement Ratio - Guidelines</t>
  </si>
  <si>
    <t xml:space="preserve">Exposure </t>
  </si>
  <si>
    <t>Condition</t>
  </si>
  <si>
    <t>IS 456- TABLE 5- Water Cement Ratio - Guidelines</t>
  </si>
  <si>
    <t>Exposure</t>
  </si>
  <si>
    <t xml:space="preserve"> STEP 1 : WATER CONTENT CALCULATION</t>
  </si>
  <si>
    <t xml:space="preserve"> STEP 2: REDUCTION DUE TO SHAPE OF AGGREGATE</t>
  </si>
  <si>
    <t>WATER CEMENT RATIO BY CURVE</t>
  </si>
  <si>
    <t xml:space="preserve">Water/Cement Ratio </t>
  </si>
  <si>
    <t>Cement Contents in kg/m3</t>
  </si>
  <si>
    <t>Adjustment to Minimum</t>
  </si>
  <si>
    <t>Aggregate Size</t>
  </si>
  <si>
    <t>Sr. No.</t>
  </si>
  <si>
    <t>Adjustments to Minimum Cement Contents for Aggregate Other than 20mm NS</t>
  </si>
  <si>
    <t>Modified Cement Content for Given Aggregate Size</t>
  </si>
  <si>
    <t>MAXIMUM WATER CONTENT FOR GIVEN NOMINAL SIZE</t>
  </si>
  <si>
    <t>OF AGGREGATE</t>
  </si>
  <si>
    <t>THE SHAPE OF AGGREGATE</t>
  </si>
  <si>
    <t>Reduction Due to Shape of Aggregate</t>
  </si>
  <si>
    <t>Modification Due to Nominal Size of Aggregate</t>
  </si>
  <si>
    <t>Nominal Maximum Size of Aggregate</t>
  </si>
  <si>
    <t>Increase In Cementitious Material Warrented</t>
  </si>
  <si>
    <t xml:space="preserve">Increased Cementitious Material </t>
  </si>
  <si>
    <t>Max.Nominal Size of Aggregate(mm)</t>
  </si>
  <si>
    <t xml:space="preserve">Aggregate </t>
  </si>
  <si>
    <t>Specific Gravity:</t>
  </si>
  <si>
    <t xml:space="preserve">Coarse Aggregate </t>
  </si>
  <si>
    <t xml:space="preserve">Water Absorption: </t>
  </si>
  <si>
    <t xml:space="preserve">Surface Moisture: </t>
  </si>
  <si>
    <t>%increase in Cement.Material</t>
  </si>
  <si>
    <t>Replacment by Flyash</t>
  </si>
  <si>
    <t>%Fly Ash Replacement</t>
  </si>
  <si>
    <t>Specific Gravity of Fly Ash</t>
  </si>
  <si>
    <t>Admixture</t>
  </si>
  <si>
    <t xml:space="preserve">Specific Gravity </t>
  </si>
  <si>
    <t>% Reduction in Water Content</t>
  </si>
  <si>
    <t>%Admixture by Wt of Cementitious material</t>
  </si>
  <si>
    <t>INPUT DATA</t>
  </si>
  <si>
    <t xml:space="preserve">General </t>
  </si>
  <si>
    <t>Grade of cement</t>
  </si>
  <si>
    <t>Requirements as pe IS</t>
  </si>
  <si>
    <t>Fineness:</t>
  </si>
  <si>
    <t>%</t>
  </si>
  <si>
    <t>Should Not Exceed</t>
  </si>
  <si>
    <t>Water Absorption(Percent Of Dry Weight)</t>
  </si>
  <si>
    <t>Soundness:</t>
  </si>
  <si>
    <t>Percent Bulking Of Sand Due To Moisture</t>
  </si>
  <si>
    <t xml:space="preserve">By Le Chatelier </t>
  </si>
  <si>
    <t>mm</t>
  </si>
  <si>
    <t>Apparatus(in mm)</t>
  </si>
  <si>
    <t>Setting Time</t>
  </si>
  <si>
    <t>a) Initial Set</t>
  </si>
  <si>
    <t>min</t>
  </si>
  <si>
    <t>Should Not Be Less Than</t>
  </si>
  <si>
    <t>Fineness Modulus</t>
  </si>
  <si>
    <t>b) Final Set</t>
  </si>
  <si>
    <t>Compressive Strength:</t>
  </si>
  <si>
    <t>a) 3 Days</t>
  </si>
  <si>
    <t>Mpa</t>
  </si>
  <si>
    <t>MPa</t>
  </si>
  <si>
    <t>b) 7 Days</t>
  </si>
  <si>
    <t>c) 28 Days</t>
  </si>
  <si>
    <t>Standard Consistency:</t>
  </si>
  <si>
    <t>Grade Designation(M__)</t>
  </si>
  <si>
    <t>Water Absorption (Percent Of Dry Weight)</t>
  </si>
  <si>
    <t xml:space="preserve">%Surface Moisture (wrt SSD Aggrgates) </t>
  </si>
  <si>
    <t xml:space="preserve">%Of Surface Moisture (In Terms Of SSD Aggrgates) </t>
  </si>
  <si>
    <t>FA GRADING</t>
  </si>
  <si>
    <t>Test Result</t>
  </si>
  <si>
    <t>Lower Bound Val</t>
  </si>
  <si>
    <t>Upper Bound Val</t>
  </si>
  <si>
    <t>CA GRADING</t>
  </si>
  <si>
    <t>Nominal Size of Aggrgate(mm)</t>
  </si>
  <si>
    <t xml:space="preserve">Curve Coordinates </t>
  </si>
  <si>
    <t>Curve Coordinates</t>
  </si>
  <si>
    <t>Overall Acceptence Result</t>
  </si>
  <si>
    <t>Choose Whether Replacement of Cementitious Material is Needed</t>
  </si>
  <si>
    <t>Choose the %replacement of Cementitious Material</t>
  </si>
  <si>
    <t xml:space="preserve">Choose Whether FlyAsh is to be used as replacement </t>
  </si>
  <si>
    <t>Enter the % Fly Ash Replacement Desired</t>
  </si>
  <si>
    <t>Enter the Specific Gravity of Fly Ash</t>
  </si>
  <si>
    <t>Enter the Specific Gravity of Admixture</t>
  </si>
  <si>
    <t>Enter the percentage reduction in water content due to admixture</t>
  </si>
  <si>
    <t>Enter the desired %of admixture by weight of cemntitious material</t>
  </si>
  <si>
    <t>kg</t>
  </si>
  <si>
    <t>MIX AT SSD CONDITION</t>
  </si>
  <si>
    <t>MIX AT GIVEN SITE CONDITION</t>
  </si>
  <si>
    <t>Weight of Basket And Aggregates</t>
  </si>
  <si>
    <t>in Water(In g)</t>
  </si>
  <si>
    <t>Weight of Basket in Water(in g)</t>
  </si>
  <si>
    <t>4.Surface Moisture</t>
  </si>
  <si>
    <t>OPC 33</t>
  </si>
  <si>
    <t>WATER AT GIVEN CONDITION</t>
  </si>
  <si>
    <r>
      <t xml:space="preserve">I) Volume of </t>
    </r>
    <r>
      <rPr>
        <b/>
        <sz val="11"/>
        <color theme="1"/>
        <rFont val="Calibri"/>
        <family val="2"/>
        <scheme val="minor"/>
      </rPr>
      <t>COARSE AGGREGATE</t>
    </r>
    <r>
      <rPr>
        <sz val="11"/>
        <color theme="1"/>
        <rFont val="Calibri"/>
        <family val="2"/>
        <scheme val="minor"/>
      </rPr>
      <t>(kg)</t>
    </r>
  </si>
  <si>
    <r>
      <t xml:space="preserve">II) Volume </t>
    </r>
    <r>
      <rPr>
        <b/>
        <sz val="11"/>
        <color theme="1"/>
        <rFont val="Calibri"/>
        <family val="2"/>
        <scheme val="minor"/>
      </rPr>
      <t>FINE AGGREGATE</t>
    </r>
    <r>
      <rPr>
        <sz val="11"/>
        <color theme="1"/>
        <rFont val="Calibri"/>
        <family val="2"/>
        <scheme val="minor"/>
      </rPr>
      <t>(kg)</t>
    </r>
  </si>
  <si>
    <t>Choose the type of aggregate</t>
  </si>
  <si>
    <t>Enter the name of the admixture</t>
  </si>
  <si>
    <t xml:space="preserve">Choose the type of concrete </t>
  </si>
  <si>
    <t xml:space="preserve">Choose the quality of site control </t>
  </si>
  <si>
    <t>Good</t>
  </si>
  <si>
    <t>The Actual State of The Aggregate With Respect to SSD Condition</t>
  </si>
  <si>
    <t>Increase in Cementitious Material</t>
  </si>
  <si>
    <t>If Needed</t>
  </si>
  <si>
    <t>Zone of Fine Aggregate</t>
  </si>
  <si>
    <t>Method of Choosing Zone</t>
  </si>
  <si>
    <t>Choose From List</t>
  </si>
  <si>
    <t>The Zone of Fine Aggregate Can be Chosen</t>
  </si>
  <si>
    <t>From the List, or can be infered from grading data</t>
  </si>
  <si>
    <t>Simplified Proportion</t>
  </si>
  <si>
    <t xml:space="preserve">SAND </t>
  </si>
  <si>
    <t>Modified W/C</t>
  </si>
  <si>
    <t xml:space="preserve">(w.r.t Increased Cementitious Mat. Content) </t>
  </si>
  <si>
    <t>Modified W/C Ratio</t>
  </si>
  <si>
    <t>Reinforced Concrete</t>
  </si>
  <si>
    <t>Specific Gravity of the cement is by default selected based on the     type of cement chosen</t>
  </si>
  <si>
    <t>Strength</t>
  </si>
  <si>
    <t xml:space="preserve">Accelerated </t>
  </si>
  <si>
    <t xml:space="preserve">28 day </t>
  </si>
  <si>
    <t>Accelerated Strength</t>
  </si>
  <si>
    <t>28-Day Compressive Stength</t>
  </si>
  <si>
    <t>ACCELERATED CURING TEST</t>
  </si>
  <si>
    <t>WARM WATER METHOD</t>
  </si>
  <si>
    <t>BOILING WATER METHOD</t>
  </si>
  <si>
    <t>No</t>
  </si>
  <si>
    <t>OPC</t>
  </si>
  <si>
    <t>Surface Moist</t>
  </si>
  <si>
    <t>MIX PROPORTION AT SITE CONDITION</t>
  </si>
</sst>
</file>

<file path=xl/styles.xml><?xml version="1.0" encoding="utf-8"?>
<styleSheet xmlns="http://schemas.openxmlformats.org/spreadsheetml/2006/main">
  <numFmts count="3">
    <numFmt numFmtId="164" formatCode="0.000"/>
    <numFmt numFmtId="165" formatCode="0.0"/>
    <numFmt numFmtId="166" formatCode="#,##0.000"/>
  </numFmts>
  <fonts count="35">
    <font>
      <sz val="11"/>
      <color theme="1"/>
      <name val="Calibri"/>
      <family val="2"/>
      <scheme val="minor"/>
    </font>
    <font>
      <sz val="11"/>
      <color rgb="FF000000"/>
      <name val="Calibri"/>
      <family val="2"/>
      <scheme val="minor"/>
    </font>
    <font>
      <sz val="12"/>
      <color theme="1"/>
      <name val="Arial Narrow"/>
      <family val="2"/>
    </font>
    <font>
      <b/>
      <sz val="11"/>
      <color theme="1"/>
      <name val="Calibri"/>
      <family val="2"/>
      <scheme val="minor"/>
    </font>
    <font>
      <i/>
      <sz val="11"/>
      <color theme="1"/>
      <name val="Calibri"/>
      <family val="2"/>
      <scheme val="minor"/>
    </font>
    <font>
      <b/>
      <sz val="14"/>
      <color theme="1"/>
      <name val="Calibri"/>
      <family val="2"/>
      <scheme val="minor"/>
    </font>
    <font>
      <b/>
      <sz val="11"/>
      <color rgb="FF000000"/>
      <name val="Calibri"/>
      <family val="2"/>
      <scheme val="minor"/>
    </font>
    <font>
      <sz val="11"/>
      <color theme="1"/>
      <name val="Calibri"/>
      <family val="2"/>
    </font>
    <font>
      <b/>
      <u/>
      <sz val="12"/>
      <color theme="1"/>
      <name val="Calibri"/>
      <family val="2"/>
      <scheme val="minor"/>
    </font>
    <font>
      <b/>
      <sz val="15"/>
      <color theme="3"/>
      <name val="Calibri"/>
      <family val="2"/>
      <scheme val="minor"/>
    </font>
    <font>
      <sz val="11"/>
      <color rgb="FF3F3F76"/>
      <name val="Calibri"/>
      <family val="2"/>
      <scheme val="minor"/>
    </font>
    <font>
      <i/>
      <sz val="11"/>
      <color rgb="FF7F7F7F"/>
      <name val="Calibri"/>
      <family val="2"/>
      <scheme val="minor"/>
    </font>
    <font>
      <b/>
      <sz val="11"/>
      <color rgb="FF3F3F76"/>
      <name val="Calibri"/>
      <family val="2"/>
      <scheme val="minor"/>
    </font>
    <font>
      <b/>
      <i/>
      <sz val="11"/>
      <color theme="1"/>
      <name val="Calibri"/>
      <family val="2"/>
      <scheme val="minor"/>
    </font>
    <font>
      <i/>
      <sz val="9"/>
      <color rgb="FF7F7F7F"/>
      <name val="Calibri"/>
      <family val="2"/>
      <scheme val="minor"/>
    </font>
    <font>
      <i/>
      <u/>
      <sz val="11"/>
      <color rgb="FF7F7F7F"/>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b/>
      <sz val="11"/>
      <color rgb="FF3F3F3F"/>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sz val="11"/>
      <color rgb="FFFF3300"/>
      <name val="Calibri"/>
      <family val="2"/>
      <scheme val="minor"/>
    </font>
    <font>
      <b/>
      <sz val="11"/>
      <color theme="2" tint="-9.9978637043366805E-2"/>
      <name val="Calibri"/>
      <family val="2"/>
      <scheme val="minor"/>
    </font>
    <font>
      <b/>
      <sz val="15"/>
      <color theme="2" tint="-9.9978637043366805E-2"/>
      <name val="Calibri"/>
      <family val="2"/>
      <scheme val="minor"/>
    </font>
    <font>
      <sz val="11"/>
      <color theme="5" tint="0.79998168889431442"/>
      <name val="Calibri"/>
      <family val="2"/>
      <scheme val="minor"/>
    </font>
    <font>
      <b/>
      <u/>
      <sz val="11"/>
      <color theme="1"/>
      <name val="Calibri"/>
      <family val="2"/>
      <scheme val="minor"/>
    </font>
    <font>
      <b/>
      <sz val="11"/>
      <color theme="3" tint="-0.249977111117893"/>
      <name val="Calibri"/>
      <family val="2"/>
      <scheme val="minor"/>
    </font>
    <font>
      <b/>
      <sz val="12"/>
      <color theme="3" tint="-0.249977111117893"/>
      <name val="Calibri"/>
      <family val="2"/>
      <scheme val="minor"/>
    </font>
    <font>
      <sz val="11"/>
      <color theme="7" tint="0.79998168889431442"/>
      <name val="Calibri"/>
      <family val="2"/>
      <scheme val="minor"/>
    </font>
    <font>
      <b/>
      <sz val="11"/>
      <name val="Calibri"/>
      <family val="2"/>
      <scheme val="minor"/>
    </font>
    <font>
      <sz val="10"/>
      <color theme="1"/>
      <name val="Calibri"/>
      <family val="2"/>
      <scheme val="minor"/>
    </font>
    <font>
      <b/>
      <sz val="10"/>
      <color theme="1"/>
      <name val="Calibri"/>
      <family val="2"/>
      <scheme val="minor"/>
    </font>
    <font>
      <b/>
      <sz val="13"/>
      <color theme="1"/>
      <name val="Calibri"/>
      <family val="2"/>
      <scheme val="minor"/>
    </font>
  </fonts>
  <fills count="2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rgb="FFFBFB8F"/>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CC99"/>
      </patternFill>
    </fill>
    <fill>
      <patternFill patternType="solid">
        <fgColor theme="6" tint="0.79998168889431442"/>
        <bgColor indexed="64"/>
      </patternFill>
    </fill>
    <fill>
      <patternFill patternType="solid">
        <fgColor theme="8" tint="0.79998168889431442"/>
        <bgColor indexed="64"/>
      </patternFill>
    </fill>
    <fill>
      <patternFill patternType="solid">
        <fgColor rgb="FFF2F2F2"/>
      </patternFill>
    </fill>
    <fill>
      <patternFill patternType="solid">
        <fgColor rgb="FFFFFFCC"/>
      </patternFill>
    </fill>
    <fill>
      <patternFill patternType="solid">
        <fgColor theme="5"/>
      </patternFill>
    </fill>
    <fill>
      <patternFill patternType="solid">
        <fgColor theme="7" tint="0.79998168889431442"/>
        <bgColor indexed="65"/>
      </patternFill>
    </fill>
    <fill>
      <patternFill patternType="solid">
        <fgColor rgb="FFFFFFCC"/>
        <bgColor indexed="64"/>
      </patternFill>
    </fill>
    <fill>
      <patternFill patternType="solid">
        <fgColor theme="6"/>
      </patternFill>
    </fill>
    <fill>
      <patternFill patternType="solid">
        <fgColor theme="8"/>
      </patternFill>
    </fill>
    <fill>
      <patternFill patternType="solid">
        <fgColor theme="5"/>
        <bgColor indexed="64"/>
      </patternFill>
    </fill>
    <fill>
      <patternFill patternType="solid">
        <fgColor theme="5" tint="-0.249977111117893"/>
        <bgColor indexed="64"/>
      </patternFill>
    </fill>
    <fill>
      <patternFill patternType="solid">
        <fgColor theme="9" tint="0.79998168889431442"/>
        <bgColor indexed="64"/>
      </patternFill>
    </fill>
    <fill>
      <patternFill patternType="solid">
        <fgColor theme="2" tint="-9.9978637043366805E-2"/>
        <bgColor indexed="64"/>
      </patternFill>
    </fill>
  </fills>
  <borders count="147">
    <border>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style="thin">
        <color theme="0" tint="-4.9989318521683403E-2"/>
      </right>
      <top/>
      <bottom/>
      <diagonal/>
    </border>
    <border>
      <left style="thin">
        <color theme="0" tint="-4.9989318521683403E-2"/>
      </left>
      <right style="thick">
        <color theme="0" tint="-4.9989318521683403E-2"/>
      </right>
      <top/>
      <bottom/>
      <diagonal/>
    </border>
    <border>
      <left/>
      <right style="thick">
        <color theme="0" tint="-4.9989318521683403E-2"/>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thin">
        <color theme="7" tint="0.39997558519241921"/>
      </bottom>
      <diagonal/>
    </border>
    <border>
      <left/>
      <right style="thin">
        <color theme="7" tint="0.39997558519241921"/>
      </right>
      <top/>
      <bottom/>
      <diagonal/>
    </border>
    <border>
      <left style="thin">
        <color theme="7" tint="0.39997558519241921"/>
      </left>
      <right style="thin">
        <color theme="7" tint="0.39997558519241921"/>
      </right>
      <top style="thin">
        <color theme="7" tint="0.39997558519241921"/>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style="thin">
        <color theme="7" tint="0.39997558519241921"/>
      </left>
      <right/>
      <top style="thin">
        <color theme="7" tint="0.39997558519241921"/>
      </top>
      <bottom/>
      <diagonal/>
    </border>
    <border>
      <left/>
      <right/>
      <top style="thin">
        <color theme="7" tint="0.39997558519241921"/>
      </top>
      <bottom/>
      <diagonal/>
    </border>
    <border>
      <left/>
      <right style="thin">
        <color theme="7" tint="0.39997558519241921"/>
      </right>
      <top style="thin">
        <color theme="7" tint="0.39997558519241921"/>
      </top>
      <bottom/>
      <diagonal/>
    </border>
    <border>
      <left style="thin">
        <color theme="7" tint="0.39997558519241921"/>
      </left>
      <right/>
      <top/>
      <bottom/>
      <diagonal/>
    </border>
    <border>
      <left style="thin">
        <color theme="7" tint="0.39997558519241921"/>
      </left>
      <right/>
      <top/>
      <bottom style="thin">
        <color theme="7" tint="0.39997558519241921"/>
      </bottom>
      <diagonal/>
    </border>
    <border>
      <left/>
      <right style="thin">
        <color theme="7" tint="0.39997558519241921"/>
      </right>
      <top/>
      <bottom style="thin">
        <color theme="7" tint="0.39997558519241921"/>
      </bottom>
      <diagonal/>
    </border>
    <border>
      <left/>
      <right style="thin">
        <color theme="6" tint="0.39997558519241921"/>
      </right>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thin">
        <color theme="6" tint="0.39997558519241921"/>
      </left>
      <right/>
      <top/>
      <bottom/>
      <diagonal/>
    </border>
    <border>
      <left style="thin">
        <color theme="6" tint="0.39997558519241921"/>
      </left>
      <right/>
      <top/>
      <bottom style="thin">
        <color theme="6" tint="0.39997558519241921"/>
      </bottom>
      <diagonal/>
    </border>
    <border>
      <left/>
      <right/>
      <top/>
      <bottom style="thin">
        <color theme="6" tint="0.39997558519241921"/>
      </bottom>
      <diagonal/>
    </border>
    <border>
      <left/>
      <right style="thin">
        <color theme="6" tint="0.39997558519241921"/>
      </right>
      <top/>
      <bottom style="thin">
        <color theme="6" tint="0.39997558519241921"/>
      </bottom>
      <diagonal/>
    </border>
    <border>
      <left style="thin">
        <color theme="6" tint="0.39997558519241921"/>
      </left>
      <right style="thin">
        <color theme="6" tint="0.39997558519241921"/>
      </right>
      <top style="thin">
        <color theme="6" tint="0.39997558519241921"/>
      </top>
      <bottom/>
      <diagonal/>
    </border>
    <border>
      <left style="thin">
        <color theme="6" tint="0.39997558519241921"/>
      </left>
      <right style="thin">
        <color theme="6" tint="0.39997558519241921"/>
      </right>
      <top/>
      <bottom/>
      <diagonal/>
    </border>
    <border>
      <left style="thin">
        <color theme="6" tint="0.39997558519241921"/>
      </left>
      <right style="thin">
        <color theme="6" tint="0.39997558519241921"/>
      </right>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7" tint="0.39997558519241921"/>
      </right>
      <top style="thin">
        <color rgb="FFB2B2B2"/>
      </top>
      <bottom/>
      <diagonal/>
    </border>
    <border>
      <left/>
      <right/>
      <top style="thin">
        <color rgb="FF3F3F3F"/>
      </top>
      <bottom style="thin">
        <color rgb="FF3F3F3F"/>
      </bottom>
      <diagonal/>
    </border>
    <border>
      <left/>
      <right style="thin">
        <color theme="6" tint="0.39997558519241921"/>
      </right>
      <top style="thin">
        <color rgb="FF7F7F7F"/>
      </top>
      <bottom style="thin">
        <color rgb="FF7F7F7F"/>
      </bottom>
      <diagonal/>
    </border>
    <border>
      <left/>
      <right/>
      <top style="thin">
        <color rgb="FF3F3F3F"/>
      </top>
      <bottom/>
      <diagonal/>
    </border>
    <border>
      <left/>
      <right style="thin">
        <color rgb="FF3F3F3F"/>
      </right>
      <top/>
      <bottom/>
      <diagonal/>
    </border>
    <border>
      <left style="thin">
        <color rgb="FF3F3F3F"/>
      </left>
      <right/>
      <top/>
      <bottom/>
      <diagonal/>
    </border>
    <border>
      <left/>
      <right style="thin">
        <color theme="0" tint="-0.14999847407452621"/>
      </right>
      <top/>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top style="thin">
        <color theme="0" tint="-0.14999847407452621"/>
      </top>
      <bottom/>
      <diagonal/>
    </border>
    <border>
      <left style="thin">
        <color theme="0" tint="-0.14999847407452621"/>
      </left>
      <right/>
      <top/>
      <bottom/>
      <diagonal/>
    </border>
    <border>
      <left style="thin">
        <color theme="0" tint="-0.14999847407452621"/>
      </left>
      <right/>
      <top/>
      <bottom style="thin">
        <color theme="0" tint="-0.14999847407452621"/>
      </bottom>
      <diagonal/>
    </border>
    <border>
      <left/>
      <right style="thin">
        <color theme="5" tint="0.39997558519241921"/>
      </right>
      <top style="thin">
        <color theme="5" tint="0.39997558519241921"/>
      </top>
      <bottom/>
      <diagonal/>
    </border>
    <border>
      <left/>
      <right style="thin">
        <color theme="5" tint="0.39997558519241921"/>
      </right>
      <top/>
      <bottom/>
      <diagonal/>
    </border>
    <border>
      <left/>
      <right style="thin">
        <color theme="5" tint="0.39997558519241921"/>
      </right>
      <top/>
      <bottom style="thin">
        <color theme="5" tint="0.39997558519241921"/>
      </bottom>
      <diagonal/>
    </border>
    <border>
      <left style="thin">
        <color theme="5" tint="0.39997558519241921"/>
      </left>
      <right style="thin">
        <color theme="5" tint="0.39997558519241921"/>
      </right>
      <top style="thin">
        <color theme="5" tint="0.39997558519241921"/>
      </top>
      <bottom/>
      <diagonal/>
    </border>
    <border>
      <left style="thin">
        <color theme="5" tint="0.39997558519241921"/>
      </left>
      <right style="thin">
        <color theme="5" tint="0.39997558519241921"/>
      </right>
      <top/>
      <bottom/>
      <diagonal/>
    </border>
    <border>
      <left style="thin">
        <color theme="5" tint="0.39997558519241921"/>
      </left>
      <right style="thin">
        <color theme="5" tint="0.39997558519241921"/>
      </right>
      <top/>
      <bottom style="thin">
        <color theme="5" tint="0.39997558519241921"/>
      </bottom>
      <diagonal/>
    </border>
    <border>
      <left/>
      <right style="thin">
        <color theme="5" tint="0.39997558519241921"/>
      </right>
      <top style="thick">
        <color theme="4"/>
      </top>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thin">
        <color theme="5" tint="0.79998168889431442"/>
      </left>
      <right style="thin">
        <color theme="5" tint="0.79998168889431442"/>
      </right>
      <top style="thin">
        <color theme="5" tint="0.79998168889431442"/>
      </top>
      <bottom/>
      <diagonal/>
    </border>
    <border>
      <left style="thin">
        <color theme="5" tint="0.79998168889431442"/>
      </left>
      <right style="thin">
        <color theme="5" tint="0.79998168889431442"/>
      </right>
      <top/>
      <bottom style="thin">
        <color theme="5" tint="0.79998168889431442"/>
      </bottom>
      <diagonal/>
    </border>
    <border>
      <left style="thin">
        <color theme="5" tint="0.79998168889431442"/>
      </left>
      <right style="thin">
        <color theme="5" tint="0.79998168889431442"/>
      </right>
      <top/>
      <bottom/>
      <diagonal/>
    </border>
    <border>
      <left style="thin">
        <color theme="5" tint="0.79998168889431442"/>
      </left>
      <right style="thin">
        <color theme="5" tint="0.79998168889431442"/>
      </right>
      <top/>
      <bottom style="medium">
        <color theme="5" tint="0.79998168889431442"/>
      </bottom>
      <diagonal/>
    </border>
    <border>
      <left/>
      <right style="thin">
        <color theme="7" tint="0.39997558519241921"/>
      </right>
      <top/>
      <bottom style="thin">
        <color rgb="FFB2B2B2"/>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ck">
        <color theme="4"/>
      </top>
      <bottom style="thin">
        <color theme="5" tint="0.39997558519241921"/>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bottom style="thin">
        <color rgb="FF3F3F3F"/>
      </bottom>
      <diagonal/>
    </border>
    <border>
      <left/>
      <right/>
      <top style="thick">
        <color theme="4"/>
      </top>
      <bottom/>
      <diagonal/>
    </border>
    <border>
      <left/>
      <right style="thin">
        <color theme="7" tint="0.39997558519241921"/>
      </right>
      <top style="thin">
        <color theme="7" tint="0.39997558519241921"/>
      </top>
      <bottom style="thick">
        <color theme="4"/>
      </bottom>
      <diagonal/>
    </border>
    <border>
      <left style="thin">
        <color theme="7" tint="0.39997558519241921"/>
      </left>
      <right/>
      <top/>
      <bottom style="thick">
        <color theme="4"/>
      </bottom>
      <diagonal/>
    </border>
    <border>
      <left/>
      <right style="thin">
        <color theme="7" tint="0.39997558519241921"/>
      </right>
      <top/>
      <bottom style="thick">
        <color theme="4"/>
      </bottom>
      <diagonal/>
    </border>
    <border>
      <left/>
      <right/>
      <top style="thick">
        <color theme="4" tint="0.499984740745262"/>
      </top>
      <bottom/>
      <diagonal/>
    </border>
    <border>
      <left style="thin">
        <color theme="5" tint="0.39997558519241921"/>
      </left>
      <right/>
      <top style="thin">
        <color theme="5" tint="0.39997558519241921"/>
      </top>
      <bottom/>
      <diagonal/>
    </border>
    <border>
      <left/>
      <right/>
      <top style="thin">
        <color theme="5" tint="0.39997558519241921"/>
      </top>
      <bottom/>
      <diagonal/>
    </border>
    <border>
      <left style="thin">
        <color theme="5" tint="0.39997558519241921"/>
      </left>
      <right/>
      <top/>
      <bottom/>
      <diagonal/>
    </border>
    <border>
      <left style="thin">
        <color theme="5" tint="0.39997558519241921"/>
      </left>
      <right/>
      <top/>
      <bottom style="thin">
        <color theme="5" tint="0.39997558519241921"/>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top style="thin">
        <color theme="0"/>
      </top>
      <bottom/>
      <diagonal/>
    </border>
    <border>
      <left/>
      <right style="thin">
        <color theme="0"/>
      </right>
      <top style="thin">
        <color theme="0"/>
      </top>
      <bottom/>
      <diagonal/>
    </border>
    <border>
      <left/>
      <right style="thin">
        <color theme="0"/>
      </right>
      <top style="thin">
        <color theme="0"/>
      </top>
      <bottom style="thin">
        <color theme="0"/>
      </bottom>
      <diagonal/>
    </border>
    <border>
      <left style="thin">
        <color theme="8" tint="0.39997558519241921"/>
      </left>
      <right style="thin">
        <color theme="8" tint="0.39997558519241921"/>
      </right>
      <top style="thin">
        <color theme="8" tint="0.39997558519241921"/>
      </top>
      <bottom/>
      <diagonal/>
    </border>
    <border>
      <left style="thin">
        <color theme="8" tint="0.39997558519241921"/>
      </left>
      <right style="thin">
        <color theme="8" tint="0.39997558519241921"/>
      </right>
      <top/>
      <bottom style="thin">
        <color theme="8" tint="0.39997558519241921"/>
      </bottom>
      <diagonal/>
    </border>
    <border>
      <left style="thin">
        <color theme="8" tint="0.39997558519241921"/>
      </left>
      <right style="thin">
        <color theme="8" tint="0.39997558519241921"/>
      </right>
      <top/>
      <bottom/>
      <diagonal/>
    </border>
    <border>
      <left style="thin">
        <color theme="8" tint="0.39997558519241921"/>
      </left>
      <right/>
      <top/>
      <bottom/>
      <diagonal/>
    </border>
    <border>
      <left/>
      <right style="thin">
        <color rgb="FF7F7F7F"/>
      </right>
      <top style="thin">
        <color rgb="FF7F7F7F"/>
      </top>
      <bottom style="thin">
        <color rgb="FF7F7F7F"/>
      </bottom>
      <diagonal/>
    </border>
    <border>
      <left style="thin">
        <color theme="5" tint="0.39997558519241921"/>
      </left>
      <right style="thin">
        <color theme="5" tint="0.39997558519241921"/>
      </right>
      <top style="thin">
        <color rgb="FF3F3F3F"/>
      </top>
      <bottom style="thin">
        <color rgb="FF3F3F3F"/>
      </bottom>
      <diagonal/>
    </border>
    <border>
      <left/>
      <right/>
      <top/>
      <bottom style="medium">
        <color theme="3" tint="-0.249977111117893"/>
      </bottom>
      <diagonal/>
    </border>
    <border>
      <left/>
      <right style="thin">
        <color rgb="FF7F7F7F"/>
      </right>
      <top style="thin">
        <color theme="5" tint="0.39997558519241921"/>
      </top>
      <bottom/>
      <diagonal/>
    </border>
    <border>
      <left/>
      <right style="thin">
        <color rgb="FF7F7F7F"/>
      </right>
      <top/>
      <bottom style="thin">
        <color theme="5" tint="0.39997558519241921"/>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style="thin">
        <color theme="5" tint="0.59999389629810485"/>
      </left>
      <right style="thin">
        <color theme="5" tint="0.59999389629810485"/>
      </right>
      <top style="thin">
        <color theme="5" tint="0.59999389629810485"/>
      </top>
      <bottom/>
      <diagonal/>
    </border>
    <border>
      <left style="thin">
        <color theme="5" tint="0.59999389629810485"/>
      </left>
      <right/>
      <top style="thin">
        <color theme="5" tint="0.59999389629810485"/>
      </top>
      <bottom/>
      <diagonal/>
    </border>
    <border>
      <left/>
      <right/>
      <top style="thin">
        <color theme="5" tint="0.59999389629810485"/>
      </top>
      <bottom/>
      <diagonal/>
    </border>
    <border>
      <left/>
      <right style="thin">
        <color theme="5" tint="0.59999389629810485"/>
      </right>
      <top style="thin">
        <color theme="5" tint="0.59999389629810485"/>
      </top>
      <bottom/>
      <diagonal/>
    </border>
    <border>
      <left style="thin">
        <color theme="5" tint="0.59999389629810485"/>
      </left>
      <right style="thin">
        <color theme="5" tint="0.59999389629810485"/>
      </right>
      <top/>
      <bottom/>
      <diagonal/>
    </border>
    <border>
      <left style="thin">
        <color theme="5" tint="0.59999389629810485"/>
      </left>
      <right/>
      <top/>
      <bottom style="thin">
        <color theme="5" tint="0.59999389629810485"/>
      </bottom>
      <diagonal/>
    </border>
    <border>
      <left/>
      <right/>
      <top/>
      <bottom style="thin">
        <color theme="5" tint="0.59999389629810485"/>
      </bottom>
      <diagonal/>
    </border>
    <border>
      <left/>
      <right style="thin">
        <color theme="5" tint="0.59999389629810485"/>
      </right>
      <top/>
      <bottom style="thin">
        <color theme="5" tint="0.59999389629810485"/>
      </bottom>
      <diagonal/>
    </border>
    <border>
      <left/>
      <right style="thin">
        <color theme="5" tint="0.59999389629810485"/>
      </right>
      <top/>
      <bottom/>
      <diagonal/>
    </border>
    <border>
      <left style="thin">
        <color theme="5" tint="0.59999389629810485"/>
      </left>
      <right/>
      <top/>
      <bottom/>
      <diagonal/>
    </border>
    <border>
      <left style="thin">
        <color theme="5" tint="0.59999389629810485"/>
      </left>
      <right style="thin">
        <color theme="5" tint="0.59999389629810485"/>
      </right>
      <top/>
      <bottom style="thin">
        <color theme="5" tint="0.59999389629810485"/>
      </bottom>
      <diagonal/>
    </border>
    <border>
      <left/>
      <right style="thin">
        <color rgb="FF3F3F3F"/>
      </right>
      <top/>
      <bottom style="thin">
        <color theme="7" tint="0.39997558519241921"/>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diagonal/>
    </border>
    <border>
      <left/>
      <right/>
      <top style="medium">
        <color theme="3" tint="-0.249977111117893"/>
      </top>
      <bottom style="thin">
        <color theme="5" tint="0.39997558519241921"/>
      </bottom>
      <diagonal/>
    </border>
    <border>
      <left style="thin">
        <color rgb="FF7F7F7F"/>
      </left>
      <right style="thin">
        <color rgb="FF7F7F7F"/>
      </right>
      <top/>
      <bottom style="thin">
        <color rgb="FF7F7F7F"/>
      </bottom>
      <diagonal/>
    </border>
    <border>
      <left/>
      <right/>
      <top style="thin">
        <color rgb="FF7F7F7F"/>
      </top>
      <bottom style="thin">
        <color rgb="FF7F7F7F"/>
      </bottom>
      <diagonal/>
    </border>
    <border>
      <left/>
      <right/>
      <top/>
      <bottom style="thin">
        <color rgb="FF7F7F7F"/>
      </bottom>
      <diagonal/>
    </border>
    <border>
      <left style="thin">
        <color theme="5" tint="0.39997558519241921"/>
      </left>
      <right style="thin">
        <color theme="5" tint="0.39997558519241921"/>
      </right>
      <top style="thin">
        <color rgb="FF3F3F3F"/>
      </top>
      <bottom/>
      <diagonal/>
    </border>
    <border>
      <left style="thin">
        <color theme="1" tint="0.34998626667073579"/>
      </left>
      <right style="thin">
        <color theme="1" tint="0.34998626667073579"/>
      </right>
      <top style="thin">
        <color theme="1" tint="0.34998626667073579"/>
      </top>
      <bottom style="thin">
        <color rgb="FF7F7F7F"/>
      </bottom>
      <diagonal/>
    </border>
    <border>
      <left style="thin">
        <color theme="1" tint="0.34998626667073579"/>
      </left>
      <right style="thin">
        <color theme="1" tint="0.34998626667073579"/>
      </right>
      <top style="thin">
        <color rgb="FF7F7F7F"/>
      </top>
      <bottom style="thin">
        <color theme="1" tint="0.34998626667073579"/>
      </bottom>
      <diagonal/>
    </border>
    <border>
      <left style="thin">
        <color rgb="FF7F7F7F"/>
      </left>
      <right style="thin">
        <color rgb="FF7F7F7F"/>
      </right>
      <top style="thin">
        <color rgb="FF7F7F7F"/>
      </top>
      <bottom style="thin">
        <color theme="1" tint="0.34998626667073579"/>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left>
      <right/>
      <top/>
      <bottom/>
      <diagonal/>
    </border>
  </borders>
  <cellStyleXfs count="15">
    <xf numFmtId="0" fontId="0" fillId="0" borderId="0"/>
    <xf numFmtId="0" fontId="9" fillId="0" borderId="15" applyNumberFormat="0" applyFill="0" applyAlignment="0" applyProtection="0"/>
    <xf numFmtId="0" fontId="10" fillId="9" borderId="16" applyNumberFormat="0" applyAlignment="0" applyProtection="0"/>
    <xf numFmtId="0" fontId="11" fillId="0" borderId="0" applyNumberFormat="0" applyFill="0" applyBorder="0" applyAlignment="0" applyProtection="0"/>
    <xf numFmtId="0" fontId="16" fillId="0" borderId="18" applyNumberFormat="0" applyFill="0" applyAlignment="0" applyProtection="0"/>
    <xf numFmtId="0" fontId="17" fillId="0" borderId="19" applyNumberFormat="0" applyFill="0" applyAlignment="0" applyProtection="0"/>
    <xf numFmtId="0" fontId="3" fillId="0" borderId="20" applyNumberFormat="0" applyFill="0" applyAlignment="0" applyProtection="0"/>
    <xf numFmtId="0" fontId="19" fillId="12" borderId="24" applyNumberFormat="0" applyAlignment="0" applyProtection="0"/>
    <xf numFmtId="0" fontId="20" fillId="12" borderId="16" applyNumberFormat="0" applyAlignment="0" applyProtection="0"/>
    <xf numFmtId="0" fontId="18" fillId="13" borderId="25" applyNumberFormat="0" applyFont="0" applyAlignment="0" applyProtection="0"/>
    <xf numFmtId="0" fontId="22" fillId="14" borderId="0" applyNumberFormat="0" applyBorder="0" applyAlignment="0" applyProtection="0"/>
    <xf numFmtId="0" fontId="18" fillId="15" borderId="0" applyNumberFormat="0" applyBorder="0" applyAlignment="0" applyProtection="0"/>
    <xf numFmtId="0" fontId="22" fillId="17" borderId="0" applyNumberFormat="0" applyBorder="0" applyAlignment="0" applyProtection="0"/>
    <xf numFmtId="0" fontId="17" fillId="0" borderId="0" applyNumberFormat="0" applyFill="0" applyBorder="0" applyAlignment="0" applyProtection="0"/>
    <xf numFmtId="0" fontId="22" fillId="18" borderId="0" applyNumberFormat="0" applyBorder="0" applyAlignment="0" applyProtection="0"/>
  </cellStyleXfs>
  <cellXfs count="740">
    <xf numFmtId="0" fontId="0" fillId="0" borderId="0" xfId="0"/>
    <xf numFmtId="0" fontId="0" fillId="0" borderId="0" xfId="0" applyAlignment="1">
      <alignment horizontal="center"/>
    </xf>
    <xf numFmtId="0" fontId="0" fillId="0" borderId="0" xfId="0" applyAlignment="1">
      <alignment horizontal="right"/>
    </xf>
    <xf numFmtId="0" fontId="0" fillId="0" borderId="0" xfId="0" applyAlignment="1">
      <alignment horizontal="left"/>
    </xf>
    <xf numFmtId="49" fontId="0" fillId="0" borderId="0" xfId="0" applyNumberFormat="1"/>
    <xf numFmtId="0" fontId="0" fillId="0" borderId="0" xfId="0"/>
    <xf numFmtId="0" fontId="0" fillId="2" borderId="0" xfId="0" applyFill="1"/>
    <xf numFmtId="0" fontId="0" fillId="0" borderId="0" xfId="0"/>
    <xf numFmtId="0" fontId="2" fillId="0" borderId="0" xfId="0" applyFont="1"/>
    <xf numFmtId="0" fontId="0" fillId="0" borderId="0" xfId="0" applyBorder="1" applyAlignment="1">
      <alignment horizontal="center"/>
    </xf>
    <xf numFmtId="0" fontId="0" fillId="2" borderId="0" xfId="0" applyFill="1" applyBorder="1"/>
    <xf numFmtId="0" fontId="0" fillId="0" borderId="0" xfId="0" applyAlignment="1"/>
    <xf numFmtId="0" fontId="0" fillId="3" borderId="0" xfId="0" applyFill="1" applyBorder="1"/>
    <xf numFmtId="0" fontId="0" fillId="0" borderId="0" xfId="0"/>
    <xf numFmtId="0" fontId="0" fillId="0" borderId="0" xfId="0" applyAlignment="1">
      <alignment horizontal="center"/>
    </xf>
    <xf numFmtId="0" fontId="0" fillId="0" borderId="0" xfId="0"/>
    <xf numFmtId="0" fontId="0" fillId="0" borderId="11" xfId="0" applyBorder="1"/>
    <xf numFmtId="0" fontId="0" fillId="0" borderId="0" xfId="0"/>
    <xf numFmtId="0" fontId="0" fillId="0" borderId="0" xfId="0" applyAlignment="1">
      <alignment horizontal="center" vertical="center"/>
    </xf>
    <xf numFmtId="0" fontId="0" fillId="0" borderId="0" xfId="0" applyFill="1"/>
    <xf numFmtId="0" fontId="0" fillId="0" borderId="0" xfId="0" applyFill="1" applyBorder="1" applyAlignment="1">
      <alignment vertical="center"/>
    </xf>
    <xf numFmtId="0" fontId="0" fillId="0" borderId="0" xfId="0" applyAlignment="1">
      <alignment horizontal="center"/>
    </xf>
    <xf numFmtId="2" fontId="0" fillId="0" borderId="0" xfId="0" applyNumberFormat="1"/>
    <xf numFmtId="0" fontId="0" fillId="0" borderId="0" xfId="0" applyFill="1" applyBorder="1"/>
    <xf numFmtId="0" fontId="0" fillId="0" borderId="0" xfId="0"/>
    <xf numFmtId="0" fontId="0" fillId="0" borderId="0" xfId="0" applyAlignment="1">
      <alignment horizontal="right"/>
    </xf>
    <xf numFmtId="0" fontId="0" fillId="0" borderId="0" xfId="0" applyBorder="1"/>
    <xf numFmtId="0" fontId="0" fillId="0" borderId="0" xfId="0" applyAlignment="1">
      <alignment horizontal="left"/>
    </xf>
    <xf numFmtId="0" fontId="0" fillId="2" borderId="0" xfId="0" applyFill="1" applyBorder="1" applyAlignment="1">
      <alignment horizontal="center"/>
    </xf>
    <xf numFmtId="2" fontId="0" fillId="2" borderId="0" xfId="0" applyNumberFormat="1" applyFill="1" applyBorder="1" applyAlignment="1">
      <alignment horizontal="center"/>
    </xf>
    <xf numFmtId="2" fontId="3" fillId="0" borderId="0" xfId="0" applyNumberFormat="1" applyFont="1" applyBorder="1" applyAlignment="1">
      <alignment horizontal="center" vertical="center"/>
    </xf>
    <xf numFmtId="0" fontId="0" fillId="0" borderId="0" xfId="0" applyAlignment="1">
      <alignment horizontal="center"/>
    </xf>
    <xf numFmtId="0" fontId="3" fillId="0" borderId="0" xfId="0" applyFont="1" applyFill="1" applyBorder="1" applyAlignment="1">
      <alignment horizontal="center" vertical="top"/>
    </xf>
    <xf numFmtId="0" fontId="5" fillId="0" borderId="0" xfId="0" applyFont="1" applyFill="1" applyBorder="1" applyAlignment="1">
      <alignment vertical="center"/>
    </xf>
    <xf numFmtId="0" fontId="3" fillId="0" borderId="8" xfId="0" applyFont="1" applyFill="1" applyBorder="1" applyAlignment="1">
      <alignment horizontal="center" vertical="top"/>
    </xf>
    <xf numFmtId="0" fontId="0" fillId="0" borderId="0" xfId="0" applyFill="1" applyBorder="1" applyAlignment="1"/>
    <xf numFmtId="0" fontId="0" fillId="0" borderId="0" xfId="0" applyFill="1" applyBorder="1" applyAlignment="1">
      <alignment horizontal="center"/>
    </xf>
    <xf numFmtId="0" fontId="0" fillId="0" borderId="0" xfId="0" applyBorder="1" applyAlignment="1"/>
    <xf numFmtId="0" fontId="0" fillId="0" borderId="0" xfId="0" applyFill="1" applyBorder="1" applyAlignment="1">
      <alignment horizontal="center" vertical="center"/>
    </xf>
    <xf numFmtId="0" fontId="3" fillId="2" borderId="0"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applyAlignment="1">
      <alignment horizontal="center" vertical="center"/>
    </xf>
    <xf numFmtId="0" fontId="0" fillId="6" borderId="0" xfId="0" applyFill="1" applyBorder="1"/>
    <xf numFmtId="0" fontId="0" fillId="10" borderId="0" xfId="0" applyFill="1" applyBorder="1" applyAlignment="1">
      <alignment horizontal="center" vertical="center"/>
    </xf>
    <xf numFmtId="0" fontId="0" fillId="10" borderId="0" xfId="0" applyFill="1" applyBorder="1"/>
    <xf numFmtId="0" fontId="0" fillId="11" borderId="0" xfId="0" applyFill="1" applyBorder="1" applyAlignment="1">
      <alignment horizontal="center" vertical="center"/>
    </xf>
    <xf numFmtId="0" fontId="0" fillId="11" borderId="0" xfId="0" applyFill="1"/>
    <xf numFmtId="0" fontId="0" fillId="10" borderId="0" xfId="0" applyFill="1"/>
    <xf numFmtId="0" fontId="9" fillId="0" borderId="0" xfId="1" applyFill="1" applyBorder="1" applyAlignment="1">
      <alignment vertical="center"/>
    </xf>
    <xf numFmtId="0" fontId="0" fillId="2" borderId="0" xfId="0" applyFill="1" applyBorder="1" applyAlignment="1">
      <alignment horizontal="center"/>
    </xf>
    <xf numFmtId="0" fontId="3" fillId="10" borderId="0" xfId="0" applyFont="1" applyFill="1" applyBorder="1" applyAlignment="1">
      <alignment horizontal="center" vertical="center"/>
    </xf>
    <xf numFmtId="0" fontId="0" fillId="2" borderId="0" xfId="0" applyFill="1" applyBorder="1" applyAlignment="1">
      <alignment horizontal="center"/>
    </xf>
    <xf numFmtId="0" fontId="0" fillId="2" borderId="0" xfId="0" applyFill="1" applyBorder="1" applyAlignment="1">
      <alignment horizontal="center" vertical="center"/>
    </xf>
    <xf numFmtId="0" fontId="0" fillId="4" borderId="0" xfId="0" applyFill="1"/>
    <xf numFmtId="0" fontId="0" fillId="4" borderId="0" xfId="0" applyFill="1" applyBorder="1"/>
    <xf numFmtId="0" fontId="0" fillId="4" borderId="0" xfId="0" applyFill="1" applyBorder="1" applyAlignment="1">
      <alignment horizontal="center"/>
    </xf>
    <xf numFmtId="0" fontId="9" fillId="4" borderId="0" xfId="1" applyFill="1" applyBorder="1" applyAlignment="1">
      <alignment horizontal="center" vertical="center"/>
    </xf>
    <xf numFmtId="0" fontId="3" fillId="4" borderId="0" xfId="0" applyFont="1" applyFill="1" applyBorder="1" applyAlignment="1">
      <alignment horizontal="center" vertical="top"/>
    </xf>
    <xf numFmtId="0" fontId="3" fillId="0" borderId="0" xfId="0" applyFont="1" applyFill="1" applyBorder="1" applyAlignment="1">
      <alignment vertical="center"/>
    </xf>
    <xf numFmtId="0" fontId="0" fillId="2" borderId="0" xfId="0" applyFill="1" applyBorder="1" applyAlignment="1">
      <alignment horizontal="center"/>
    </xf>
    <xf numFmtId="0" fontId="0" fillId="7" borderId="0" xfId="0" applyFill="1"/>
    <xf numFmtId="0" fontId="0" fillId="7" borderId="0" xfId="0" applyFill="1" applyBorder="1"/>
    <xf numFmtId="0" fontId="0" fillId="7" borderId="0" xfId="0" applyFill="1" applyBorder="1" applyAlignment="1">
      <alignment vertical="center"/>
    </xf>
    <xf numFmtId="0" fontId="0" fillId="8" borderId="0" xfId="0" applyFill="1"/>
    <xf numFmtId="0" fontId="0" fillId="8" borderId="0" xfId="0" applyFill="1" applyBorder="1"/>
    <xf numFmtId="0" fontId="0" fillId="8" borderId="0" xfId="0" applyFill="1" applyBorder="1" applyAlignment="1">
      <alignment vertical="center"/>
    </xf>
    <xf numFmtId="0" fontId="0" fillId="10" borderId="0" xfId="0" applyFill="1" applyBorder="1" applyAlignment="1">
      <alignment vertical="center"/>
    </xf>
    <xf numFmtId="0" fontId="0" fillId="8" borderId="0" xfId="0" applyFill="1" applyBorder="1" applyAlignment="1">
      <alignment horizontal="center" vertical="center"/>
    </xf>
    <xf numFmtId="0" fontId="0" fillId="8" borderId="0" xfId="0" applyFill="1" applyBorder="1" applyAlignment="1">
      <alignment horizontal="center"/>
    </xf>
    <xf numFmtId="0" fontId="3" fillId="8" borderId="0" xfId="0" applyFont="1" applyFill="1" applyBorder="1" applyAlignment="1">
      <alignment horizontal="center" vertical="center"/>
    </xf>
    <xf numFmtId="0" fontId="3" fillId="8" borderId="0" xfId="0" applyFont="1" applyFill="1" applyBorder="1" applyAlignment="1">
      <alignment horizontal="center"/>
    </xf>
    <xf numFmtId="0" fontId="0" fillId="7" borderId="0" xfId="0" applyFill="1" applyBorder="1" applyAlignment="1">
      <alignment horizontal="center"/>
    </xf>
    <xf numFmtId="0" fontId="0" fillId="6" borderId="0" xfId="0" applyFill="1" applyBorder="1" applyAlignment="1">
      <alignment horizontal="center"/>
    </xf>
    <xf numFmtId="0" fontId="3" fillId="2" borderId="20" xfId="6" applyFill="1" applyAlignment="1">
      <alignment horizontal="center"/>
    </xf>
    <xf numFmtId="0" fontId="3" fillId="0" borderId="20" xfId="6" applyAlignment="1">
      <alignment horizontal="center"/>
    </xf>
    <xf numFmtId="0" fontId="3" fillId="7" borderId="0" xfId="0" applyFont="1" applyFill="1" applyBorder="1" applyAlignment="1">
      <alignment vertical="center"/>
    </xf>
    <xf numFmtId="0" fontId="3" fillId="10" borderId="0" xfId="0" applyFont="1" applyFill="1" applyBorder="1" applyAlignment="1">
      <alignment vertical="center"/>
    </xf>
    <xf numFmtId="0" fontId="0" fillId="10" borderId="0" xfId="0" applyFill="1" applyBorder="1" applyAlignment="1">
      <alignment horizontal="center"/>
    </xf>
    <xf numFmtId="0" fontId="4" fillId="7" borderId="0" xfId="0" applyFont="1" applyFill="1" applyBorder="1" applyAlignment="1">
      <alignment horizontal="center"/>
    </xf>
    <xf numFmtId="0" fontId="3" fillId="7" borderId="0" xfId="0" applyFont="1" applyFill="1" applyBorder="1" applyAlignment="1">
      <alignment horizontal="center"/>
    </xf>
    <xf numFmtId="0" fontId="0" fillId="6" borderId="0" xfId="0" applyFill="1"/>
    <xf numFmtId="0" fontId="0" fillId="6" borderId="0" xfId="0" applyFill="1" applyBorder="1" applyAlignment="1">
      <alignment vertical="center"/>
    </xf>
    <xf numFmtId="0" fontId="0" fillId="6" borderId="0" xfId="0" applyFill="1" applyBorder="1" applyAlignment="1"/>
    <xf numFmtId="0" fontId="0" fillId="6" borderId="0" xfId="0" applyFill="1" applyBorder="1" applyAlignment="1">
      <alignment horizontal="center" vertical="center"/>
    </xf>
    <xf numFmtId="0" fontId="3" fillId="6" borderId="0" xfId="0" applyFont="1" applyFill="1" applyBorder="1" applyAlignment="1">
      <alignment vertical="center"/>
    </xf>
    <xf numFmtId="0" fontId="3" fillId="6" borderId="0" xfId="0" applyFont="1" applyFill="1" applyBorder="1" applyAlignment="1">
      <alignment horizontal="center" vertical="top"/>
    </xf>
    <xf numFmtId="0" fontId="0" fillId="6" borderId="0" xfId="0" applyFill="1" applyBorder="1" applyAlignment="1">
      <alignment horizontal="left"/>
    </xf>
    <xf numFmtId="0" fontId="0" fillId="6" borderId="21" xfId="0" applyFill="1" applyBorder="1" applyAlignment="1">
      <alignment horizontal="center"/>
    </xf>
    <xf numFmtId="0" fontId="0" fillId="2" borderId="22" xfId="0" applyFill="1" applyBorder="1" applyAlignment="1">
      <alignment horizontal="center"/>
    </xf>
    <xf numFmtId="0" fontId="0" fillId="2" borderId="23" xfId="0" applyFill="1" applyBorder="1" applyAlignment="1">
      <alignment horizontal="center"/>
    </xf>
    <xf numFmtId="0" fontId="0" fillId="6" borderId="22" xfId="0" applyFill="1" applyBorder="1" applyAlignment="1">
      <alignment horizontal="center"/>
    </xf>
    <xf numFmtId="0" fontId="0" fillId="6" borderId="23" xfId="0" applyFill="1" applyBorder="1" applyAlignment="1">
      <alignment horizontal="center"/>
    </xf>
    <xf numFmtId="0" fontId="16" fillId="8" borderId="0" xfId="4" applyFill="1" applyBorder="1" applyAlignment="1">
      <alignment horizontal="center" vertical="center"/>
    </xf>
    <xf numFmtId="0" fontId="0" fillId="8" borderId="0" xfId="0" applyFill="1" applyAlignment="1">
      <alignment horizontal="center"/>
    </xf>
    <xf numFmtId="0" fontId="0" fillId="10" borderId="0" xfId="0" applyFill="1" applyAlignment="1">
      <alignment horizontal="center"/>
    </xf>
    <xf numFmtId="0" fontId="0" fillId="3" borderId="0" xfId="0" applyFill="1" applyBorder="1" applyAlignment="1">
      <alignment horizontal="center"/>
    </xf>
    <xf numFmtId="0" fontId="0" fillId="3" borderId="0" xfId="0" applyFill="1"/>
    <xf numFmtId="0" fontId="0" fillId="3" borderId="0" xfId="0" applyFill="1" applyAlignment="1">
      <alignment horizontal="right"/>
    </xf>
    <xf numFmtId="0" fontId="0" fillId="3" borderId="0" xfId="0" applyFill="1" applyAlignment="1">
      <alignment horizontal="left"/>
    </xf>
    <xf numFmtId="0" fontId="0" fillId="3" borderId="0" xfId="0" applyFill="1" applyBorder="1" applyAlignment="1">
      <alignment vertical="center"/>
    </xf>
    <xf numFmtId="0" fontId="0" fillId="3" borderId="0" xfId="0" applyFill="1" applyAlignment="1">
      <alignment horizontal="center"/>
    </xf>
    <xf numFmtId="0" fontId="9" fillId="3" borderId="0" xfId="1" applyFill="1" applyBorder="1" applyAlignment="1">
      <alignment horizontal="center" vertical="center"/>
    </xf>
    <xf numFmtId="0" fontId="18" fillId="15" borderId="0" xfId="11" applyBorder="1" applyAlignment="1">
      <alignment horizontal="center"/>
    </xf>
    <xf numFmtId="49" fontId="18" fillId="15" borderId="0" xfId="11" applyNumberFormat="1" applyBorder="1" applyAlignment="1"/>
    <xf numFmtId="0" fontId="0" fillId="3" borderId="0" xfId="0" applyFill="1" applyBorder="1" applyAlignment="1">
      <alignment horizontal="right"/>
    </xf>
    <xf numFmtId="0" fontId="0" fillId="3" borderId="0" xfId="0" applyFill="1" applyBorder="1" applyAlignment="1">
      <alignment horizontal="left"/>
    </xf>
    <xf numFmtId="0" fontId="5" fillId="0" borderId="0" xfId="0" applyFont="1" applyFill="1" applyBorder="1" applyAlignment="1">
      <alignment horizontal="center" vertical="center"/>
    </xf>
    <xf numFmtId="0" fontId="3" fillId="0" borderId="0" xfId="0" applyFont="1" applyFill="1" applyBorder="1" applyAlignment="1">
      <alignment vertical="top"/>
    </xf>
    <xf numFmtId="0" fontId="9" fillId="8" borderId="0" xfId="1" applyFill="1" applyBorder="1" applyAlignment="1">
      <alignment horizontal="center" vertical="center"/>
    </xf>
    <xf numFmtId="0" fontId="0" fillId="8" borderId="30" xfId="0" applyFill="1" applyBorder="1"/>
    <xf numFmtId="2" fontId="0" fillId="8" borderId="30" xfId="0" applyNumberFormat="1" applyFill="1" applyBorder="1" applyAlignment="1">
      <alignment horizontal="center"/>
    </xf>
    <xf numFmtId="2" fontId="0" fillId="8" borderId="31" xfId="0" applyNumberFormat="1" applyFill="1" applyBorder="1" applyAlignment="1">
      <alignment horizontal="center"/>
    </xf>
    <xf numFmtId="0" fontId="0" fillId="8" borderId="30" xfId="0" applyFill="1" applyBorder="1" applyAlignment="1">
      <alignment horizontal="center"/>
    </xf>
    <xf numFmtId="0" fontId="0" fillId="8" borderId="31" xfId="0" applyFill="1" applyBorder="1" applyAlignment="1">
      <alignment horizontal="center"/>
    </xf>
    <xf numFmtId="0" fontId="0" fillId="8" borderId="36" xfId="0" applyFill="1" applyBorder="1" applyAlignment="1">
      <alignment horizontal="center"/>
    </xf>
    <xf numFmtId="0" fontId="0" fillId="8" borderId="26" xfId="0" applyFill="1" applyBorder="1" applyAlignment="1">
      <alignment horizontal="center"/>
    </xf>
    <xf numFmtId="0" fontId="3" fillId="8" borderId="33" xfId="0" applyFont="1" applyFill="1" applyBorder="1" applyAlignment="1">
      <alignment vertical="center"/>
    </xf>
    <xf numFmtId="2" fontId="0" fillId="8" borderId="33" xfId="0" applyNumberFormat="1" applyFill="1" applyBorder="1" applyAlignment="1">
      <alignment vertical="center"/>
    </xf>
    <xf numFmtId="2" fontId="19" fillId="12" borderId="24" xfId="7" applyNumberFormat="1" applyAlignment="1">
      <alignment horizontal="center"/>
    </xf>
    <xf numFmtId="2" fontId="0" fillId="6" borderId="0" xfId="0" applyNumberFormat="1" applyFill="1"/>
    <xf numFmtId="2" fontId="20" fillId="12" borderId="16" xfId="8" applyNumberFormat="1" applyAlignment="1">
      <alignment horizontal="center"/>
    </xf>
    <xf numFmtId="2" fontId="20" fillId="8" borderId="16" xfId="8" applyNumberFormat="1" applyFill="1" applyAlignment="1">
      <alignment horizontal="center"/>
    </xf>
    <xf numFmtId="0" fontId="3" fillId="8" borderId="0" xfId="0" applyFont="1" applyFill="1" applyBorder="1" applyAlignment="1">
      <alignment vertical="center"/>
    </xf>
    <xf numFmtId="2" fontId="0" fillId="8" borderId="0" xfId="0" applyNumberFormat="1" applyFill="1" applyBorder="1" applyAlignment="1">
      <alignment vertical="center"/>
    </xf>
    <xf numFmtId="0" fontId="9" fillId="10" borderId="0" xfId="1" applyFill="1" applyBorder="1" applyAlignment="1">
      <alignment vertical="center"/>
    </xf>
    <xf numFmtId="0" fontId="0" fillId="10" borderId="0" xfId="0" applyFill="1" applyBorder="1" applyAlignment="1"/>
    <xf numFmtId="2" fontId="0" fillId="10" borderId="0" xfId="0" applyNumberFormat="1" applyFill="1" applyBorder="1" applyAlignment="1">
      <alignment horizontal="center"/>
    </xf>
    <xf numFmtId="0" fontId="0" fillId="10" borderId="38" xfId="0" applyFill="1" applyBorder="1"/>
    <xf numFmtId="2" fontId="0" fillId="10" borderId="41" xfId="0" applyNumberFormat="1" applyFill="1" applyBorder="1" applyAlignment="1">
      <alignment horizontal="center"/>
    </xf>
    <xf numFmtId="2" fontId="0" fillId="10" borderId="38" xfId="0" applyNumberFormat="1" applyFill="1" applyBorder="1" applyAlignment="1">
      <alignment horizontal="center"/>
    </xf>
    <xf numFmtId="0" fontId="0" fillId="10" borderId="43" xfId="0" applyFill="1" applyBorder="1"/>
    <xf numFmtId="0" fontId="0" fillId="10" borderId="44" xfId="0" applyFill="1" applyBorder="1"/>
    <xf numFmtId="0" fontId="0" fillId="10" borderId="45" xfId="0" applyFill="1" applyBorder="1"/>
    <xf numFmtId="0" fontId="0" fillId="10" borderId="46" xfId="0" applyFill="1" applyBorder="1" applyAlignment="1">
      <alignment horizontal="center"/>
    </xf>
    <xf numFmtId="0" fontId="0" fillId="10" borderId="47" xfId="0" applyFill="1" applyBorder="1" applyAlignment="1">
      <alignment horizontal="center"/>
    </xf>
    <xf numFmtId="2" fontId="0" fillId="10" borderId="47" xfId="0" applyNumberFormat="1" applyFill="1" applyBorder="1" applyAlignment="1">
      <alignment horizontal="center"/>
    </xf>
    <xf numFmtId="0" fontId="0" fillId="10" borderId="48" xfId="0" applyFill="1" applyBorder="1"/>
    <xf numFmtId="2" fontId="0" fillId="10" borderId="46" xfId="0" applyNumberFormat="1" applyFill="1" applyBorder="1" applyAlignment="1">
      <alignment horizontal="center"/>
    </xf>
    <xf numFmtId="0" fontId="3" fillId="10" borderId="46" xfId="0" applyFont="1" applyFill="1" applyBorder="1" applyAlignment="1">
      <alignment horizontal="center"/>
    </xf>
    <xf numFmtId="0" fontId="3" fillId="10" borderId="47" xfId="0" applyFont="1" applyFill="1" applyBorder="1" applyAlignment="1">
      <alignment horizontal="center"/>
    </xf>
    <xf numFmtId="0" fontId="3" fillId="10" borderId="38" xfId="0" applyFont="1" applyFill="1" applyBorder="1" applyAlignment="1">
      <alignment horizontal="center"/>
    </xf>
    <xf numFmtId="0" fontId="3" fillId="10" borderId="48" xfId="0" applyFont="1" applyFill="1" applyBorder="1" applyAlignment="1"/>
    <xf numFmtId="0" fontId="3" fillId="10" borderId="48" xfId="0" applyFont="1" applyFill="1" applyBorder="1" applyAlignment="1">
      <alignment horizontal="center"/>
    </xf>
    <xf numFmtId="0" fontId="3" fillId="10" borderId="45" xfId="0" applyFont="1" applyFill="1" applyBorder="1" applyAlignment="1">
      <alignment horizontal="center"/>
    </xf>
    <xf numFmtId="0" fontId="3" fillId="8" borderId="29" xfId="0" applyFont="1" applyFill="1" applyBorder="1"/>
    <xf numFmtId="0" fontId="3" fillId="8" borderId="29" xfId="0" applyFont="1" applyFill="1" applyBorder="1" applyAlignment="1">
      <alignment horizontal="center"/>
    </xf>
    <xf numFmtId="0" fontId="3" fillId="8" borderId="30" xfId="0" applyFont="1" applyFill="1" applyBorder="1"/>
    <xf numFmtId="0" fontId="3" fillId="8" borderId="35" xfId="0" applyFont="1" applyFill="1" applyBorder="1"/>
    <xf numFmtId="0" fontId="3" fillId="8" borderId="0" xfId="0" applyFont="1" applyFill="1" applyBorder="1"/>
    <xf numFmtId="0" fontId="3" fillId="8" borderId="27" xfId="0" applyFont="1" applyFill="1" applyBorder="1"/>
    <xf numFmtId="0" fontId="3" fillId="8" borderId="30" xfId="0" applyFont="1" applyFill="1" applyBorder="1" applyAlignment="1">
      <alignment horizontal="center"/>
    </xf>
    <xf numFmtId="0" fontId="3" fillId="8" borderId="31" xfId="0" applyFont="1" applyFill="1" applyBorder="1"/>
    <xf numFmtId="0" fontId="3" fillId="8" borderId="36" xfId="0" applyFont="1" applyFill="1" applyBorder="1" applyAlignment="1">
      <alignment horizontal="center"/>
    </xf>
    <xf numFmtId="0" fontId="3" fillId="8" borderId="26" xfId="0" applyFont="1" applyFill="1" applyBorder="1" applyAlignment="1">
      <alignment horizontal="center"/>
    </xf>
    <xf numFmtId="0" fontId="3" fillId="8" borderId="37" xfId="0" applyFont="1" applyFill="1" applyBorder="1" applyAlignment="1">
      <alignment horizontal="center"/>
    </xf>
    <xf numFmtId="0" fontId="3" fillId="3" borderId="34" xfId="0" applyFont="1" applyFill="1" applyBorder="1" applyAlignment="1">
      <alignment horizontal="center" wrapText="1"/>
    </xf>
    <xf numFmtId="0" fontId="3" fillId="3" borderId="29" xfId="0" applyFont="1" applyFill="1" applyBorder="1" applyAlignment="1">
      <alignment vertical="center"/>
    </xf>
    <xf numFmtId="0" fontId="3" fillId="3" borderId="30" xfId="0" applyFont="1" applyFill="1" applyBorder="1" applyAlignment="1">
      <alignment vertical="center"/>
    </xf>
    <xf numFmtId="0" fontId="3" fillId="3" borderId="31" xfId="0" applyFont="1" applyFill="1" applyBorder="1" applyAlignment="1">
      <alignment vertical="center"/>
    </xf>
    <xf numFmtId="0" fontId="0" fillId="3" borderId="30" xfId="0" applyFill="1" applyBorder="1" applyAlignment="1">
      <alignment horizontal="center" vertical="center"/>
    </xf>
    <xf numFmtId="0" fontId="0" fillId="3" borderId="30" xfId="0" applyFill="1" applyBorder="1" applyAlignment="1">
      <alignment horizontal="center"/>
    </xf>
    <xf numFmtId="0" fontId="3" fillId="3" borderId="31" xfId="0" applyFont="1" applyFill="1" applyBorder="1"/>
    <xf numFmtId="0" fontId="0" fillId="3" borderId="30" xfId="0" applyFill="1" applyBorder="1" applyAlignment="1">
      <alignment horizontal="center" wrapText="1"/>
    </xf>
    <xf numFmtId="0" fontId="0" fillId="3" borderId="31" xfId="0" applyFill="1" applyBorder="1" applyAlignment="1">
      <alignment horizontal="center"/>
    </xf>
    <xf numFmtId="0" fontId="3" fillId="3" borderId="29" xfId="0" applyFont="1" applyFill="1" applyBorder="1" applyAlignment="1">
      <alignment horizontal="center" vertical="center" wrapText="1"/>
    </xf>
    <xf numFmtId="0" fontId="3" fillId="3" borderId="30" xfId="0" applyFont="1" applyFill="1" applyBorder="1" applyAlignment="1">
      <alignment horizontal="center" vertical="center" wrapText="1"/>
    </xf>
    <xf numFmtId="0" fontId="3" fillId="3" borderId="31" xfId="0" applyFont="1" applyFill="1" applyBorder="1" applyAlignment="1">
      <alignment horizontal="center"/>
    </xf>
    <xf numFmtId="0" fontId="3" fillId="3" borderId="30" xfId="0" applyFont="1" applyFill="1" applyBorder="1" applyAlignment="1">
      <alignment horizontal="center" wrapText="1"/>
    </xf>
    <xf numFmtId="0" fontId="19" fillId="12" borderId="28" xfId="7" applyBorder="1" applyAlignment="1">
      <alignment horizontal="center"/>
    </xf>
    <xf numFmtId="0" fontId="20" fillId="12" borderId="28" xfId="8" applyBorder="1" applyAlignment="1">
      <alignment horizontal="center"/>
    </xf>
    <xf numFmtId="0" fontId="0" fillId="16" borderId="28" xfId="0" applyFont="1" applyFill="1" applyBorder="1" applyAlignment="1">
      <alignment horizontal="center"/>
    </xf>
    <xf numFmtId="0" fontId="0" fillId="3" borderId="52" xfId="0" applyFill="1" applyBorder="1" applyAlignment="1">
      <alignment horizontal="center"/>
    </xf>
    <xf numFmtId="0" fontId="0" fillId="3" borderId="34" xfId="0" applyFill="1" applyBorder="1" applyAlignment="1">
      <alignment horizontal="center"/>
    </xf>
    <xf numFmtId="2" fontId="23" fillId="10" borderId="53" xfId="7" applyNumberFormat="1" applyFont="1" applyFill="1" applyBorder="1" applyAlignment="1">
      <alignment horizontal="center"/>
    </xf>
    <xf numFmtId="2" fontId="0" fillId="10" borderId="54" xfId="0" applyNumberFormat="1" applyFill="1" applyBorder="1" applyAlignment="1">
      <alignment horizontal="center"/>
    </xf>
    <xf numFmtId="2" fontId="19" fillId="10" borderId="53" xfId="7" applyNumberFormat="1" applyFill="1" applyBorder="1" applyAlignment="1">
      <alignment horizontal="center"/>
    </xf>
    <xf numFmtId="2" fontId="19" fillId="10" borderId="55" xfId="7" applyNumberFormat="1" applyFill="1" applyBorder="1" applyAlignment="1">
      <alignment horizontal="center"/>
    </xf>
    <xf numFmtId="0" fontId="24" fillId="10" borderId="57" xfId="7" applyFont="1" applyFill="1" applyBorder="1" applyAlignment="1">
      <alignment horizontal="center"/>
    </xf>
    <xf numFmtId="0" fontId="24" fillId="10" borderId="56" xfId="7" applyFont="1" applyFill="1" applyBorder="1" applyAlignment="1">
      <alignment horizontal="center"/>
    </xf>
    <xf numFmtId="0" fontId="21" fillId="14" borderId="38" xfId="10" applyFont="1" applyBorder="1" applyAlignment="1">
      <alignment horizontal="center"/>
    </xf>
    <xf numFmtId="2" fontId="21" fillId="10" borderId="38" xfId="0" applyNumberFormat="1" applyFont="1" applyFill="1" applyBorder="1" applyAlignment="1">
      <alignment horizontal="center"/>
    </xf>
    <xf numFmtId="2" fontId="3" fillId="10" borderId="47" xfId="0" applyNumberFormat="1" applyFont="1" applyFill="1" applyBorder="1" applyAlignment="1">
      <alignment horizontal="center"/>
    </xf>
    <xf numFmtId="2" fontId="21" fillId="10" borderId="47" xfId="0" applyNumberFormat="1" applyFont="1" applyFill="1" applyBorder="1" applyAlignment="1">
      <alignment horizontal="center"/>
    </xf>
    <xf numFmtId="0" fontId="25" fillId="6" borderId="0" xfId="1" applyFont="1" applyFill="1" applyBorder="1" applyAlignment="1">
      <alignment horizontal="center" vertical="center"/>
    </xf>
    <xf numFmtId="2" fontId="3" fillId="6" borderId="0" xfId="0" applyNumberFormat="1" applyFont="1" applyFill="1" applyBorder="1" applyAlignment="1">
      <alignment horizontal="center" vertical="center"/>
    </xf>
    <xf numFmtId="0" fontId="0" fillId="6" borderId="62" xfId="0" applyFill="1" applyBorder="1" applyAlignment="1">
      <alignment horizontal="center"/>
    </xf>
    <xf numFmtId="0" fontId="0" fillId="6" borderId="63" xfId="0" applyFill="1" applyBorder="1" applyAlignment="1">
      <alignment horizontal="center"/>
    </xf>
    <xf numFmtId="0" fontId="0" fillId="6" borderId="64" xfId="0" applyFill="1" applyBorder="1" applyAlignment="1">
      <alignment horizontal="center"/>
    </xf>
    <xf numFmtId="0" fontId="0" fillId="6" borderId="59" xfId="0" applyFill="1" applyBorder="1" applyAlignment="1">
      <alignment horizontal="center"/>
    </xf>
    <xf numFmtId="0" fontId="0" fillId="6" borderId="61" xfId="0" applyFill="1" applyBorder="1" applyAlignment="1">
      <alignment horizontal="center"/>
    </xf>
    <xf numFmtId="0" fontId="0" fillId="6" borderId="60" xfId="0" applyFill="1" applyBorder="1"/>
    <xf numFmtId="0" fontId="0" fillId="6" borderId="64" xfId="0" applyFill="1" applyBorder="1"/>
    <xf numFmtId="0" fontId="0" fillId="6" borderId="60" xfId="0" applyFill="1" applyBorder="1" applyAlignment="1">
      <alignment horizontal="center"/>
    </xf>
    <xf numFmtId="2" fontId="0" fillId="6" borderId="61" xfId="0" applyNumberFormat="1" applyFill="1" applyBorder="1" applyAlignment="1">
      <alignment horizontal="center"/>
    </xf>
    <xf numFmtId="2" fontId="0" fillId="6" borderId="60" xfId="0" applyNumberFormat="1" applyFill="1" applyBorder="1" applyAlignment="1">
      <alignment horizontal="center"/>
    </xf>
    <xf numFmtId="0" fontId="0" fillId="8" borderId="65" xfId="0" applyFill="1" applyBorder="1" applyAlignment="1">
      <alignment horizontal="center"/>
    </xf>
    <xf numFmtId="0" fontId="0" fillId="8" borderId="66" xfId="0" applyFill="1" applyBorder="1" applyAlignment="1">
      <alignment horizontal="center"/>
    </xf>
    <xf numFmtId="0" fontId="0" fillId="8" borderId="67" xfId="0" applyFill="1" applyBorder="1"/>
    <xf numFmtId="0" fontId="0" fillId="8" borderId="68" xfId="0" applyFill="1" applyBorder="1" applyAlignment="1">
      <alignment horizontal="center"/>
    </xf>
    <xf numFmtId="0" fontId="0" fillId="8" borderId="69" xfId="0" applyFill="1" applyBorder="1" applyAlignment="1">
      <alignment horizontal="center"/>
    </xf>
    <xf numFmtId="0" fontId="0" fillId="8" borderId="70" xfId="0" applyFill="1" applyBorder="1" applyAlignment="1">
      <alignment horizontal="center"/>
    </xf>
    <xf numFmtId="0" fontId="9" fillId="8" borderId="71" xfId="1" applyFill="1" applyBorder="1" applyAlignment="1">
      <alignment horizontal="center" vertical="center"/>
    </xf>
    <xf numFmtId="0" fontId="0" fillId="8" borderId="67" xfId="0" applyFill="1" applyBorder="1" applyAlignment="1">
      <alignment horizontal="center"/>
    </xf>
    <xf numFmtId="2" fontId="0" fillId="8" borderId="69" xfId="0" applyNumberFormat="1" applyFill="1" applyBorder="1" applyAlignment="1">
      <alignment horizontal="center"/>
    </xf>
    <xf numFmtId="2" fontId="0" fillId="8" borderId="70" xfId="0" applyNumberFormat="1" applyFill="1" applyBorder="1" applyAlignment="1">
      <alignment horizontal="center"/>
    </xf>
    <xf numFmtId="0" fontId="0" fillId="8" borderId="68" xfId="0" applyFill="1" applyBorder="1"/>
    <xf numFmtId="0" fontId="26" fillId="8" borderId="0" xfId="0" applyFont="1" applyFill="1"/>
    <xf numFmtId="0" fontId="0" fillId="3" borderId="0" xfId="0" applyFill="1" applyBorder="1" applyAlignment="1">
      <alignment horizontal="center"/>
    </xf>
    <xf numFmtId="0" fontId="0" fillId="3" borderId="30" xfId="0" applyFill="1" applyBorder="1"/>
    <xf numFmtId="0" fontId="0" fillId="3" borderId="31" xfId="0" applyFill="1" applyBorder="1"/>
    <xf numFmtId="0" fontId="3" fillId="3" borderId="37" xfId="0" applyFont="1" applyFill="1" applyBorder="1" applyAlignment="1">
      <alignment horizontal="center"/>
    </xf>
    <xf numFmtId="49" fontId="0" fillId="8" borderId="0" xfId="0" applyNumberFormat="1" applyFill="1" applyBorder="1" applyAlignment="1">
      <alignment horizontal="center"/>
    </xf>
    <xf numFmtId="49" fontId="0" fillId="8" borderId="69" xfId="0" applyNumberFormat="1" applyFill="1" applyBorder="1" applyAlignment="1">
      <alignment horizontal="center"/>
    </xf>
    <xf numFmtId="0" fontId="0" fillId="8" borderId="81" xfId="0" applyFill="1" applyBorder="1" applyAlignment="1">
      <alignment horizontal="center"/>
    </xf>
    <xf numFmtId="0" fontId="0" fillId="8" borderId="83" xfId="0" applyFill="1" applyBorder="1" applyAlignment="1">
      <alignment horizontal="center"/>
    </xf>
    <xf numFmtId="0" fontId="9" fillId="8" borderId="86" xfId="1" applyFill="1" applyBorder="1" applyAlignment="1">
      <alignment horizontal="center" vertical="center"/>
    </xf>
    <xf numFmtId="0" fontId="0" fillId="8" borderId="66" xfId="0" applyFill="1" applyBorder="1"/>
    <xf numFmtId="0" fontId="0" fillId="8" borderId="69" xfId="0" applyFill="1" applyBorder="1"/>
    <xf numFmtId="0" fontId="0" fillId="3" borderId="0" xfId="0" applyFill="1" applyAlignment="1"/>
    <xf numFmtId="0" fontId="0" fillId="8" borderId="82" xfId="0" applyFill="1" applyBorder="1" applyAlignment="1">
      <alignment horizontal="center"/>
    </xf>
    <xf numFmtId="0" fontId="0" fillId="3" borderId="0" xfId="0" applyFill="1" applyBorder="1" applyAlignment="1">
      <alignment horizontal="center" vertical="center"/>
    </xf>
    <xf numFmtId="0" fontId="9" fillId="3" borderId="0" xfId="1" applyFill="1" applyBorder="1" applyAlignment="1">
      <alignment horizontal="center"/>
    </xf>
    <xf numFmtId="0" fontId="0" fillId="8" borderId="85" xfId="0" applyFill="1" applyBorder="1"/>
    <xf numFmtId="0" fontId="0" fillId="8" borderId="70" xfId="0" applyFill="1" applyBorder="1"/>
    <xf numFmtId="0" fontId="0" fillId="3" borderId="29" xfId="0" applyFill="1" applyBorder="1"/>
    <xf numFmtId="0" fontId="0" fillId="0" borderId="27" xfId="0" applyBorder="1"/>
    <xf numFmtId="0" fontId="3" fillId="0" borderId="26" xfId="0" applyFont="1" applyFill="1" applyBorder="1" applyAlignment="1">
      <alignment horizontal="center" vertical="top"/>
    </xf>
    <xf numFmtId="0" fontId="3" fillId="2" borderId="0" xfId="0" applyFont="1" applyFill="1" applyBorder="1" applyAlignment="1">
      <alignment horizontal="center" vertical="top"/>
    </xf>
    <xf numFmtId="0" fontId="0" fillId="8" borderId="68" xfId="0" applyFill="1" applyBorder="1" applyAlignment="1">
      <alignment horizontal="center" vertical="center"/>
    </xf>
    <xf numFmtId="0" fontId="0" fillId="8" borderId="70" xfId="0" applyFill="1" applyBorder="1" applyAlignment="1">
      <alignment horizontal="center" vertical="center"/>
    </xf>
    <xf numFmtId="0" fontId="0" fillId="8" borderId="66" xfId="0" applyFill="1" applyBorder="1" applyAlignment="1">
      <alignment horizontal="center" vertical="center"/>
    </xf>
    <xf numFmtId="0" fontId="17" fillId="0" borderId="0" xfId="5" applyBorder="1" applyAlignment="1">
      <alignment horizontal="center"/>
    </xf>
    <xf numFmtId="0" fontId="0" fillId="6" borderId="0" xfId="0" applyFill="1" applyBorder="1" applyAlignment="1">
      <alignment horizontal="center"/>
    </xf>
    <xf numFmtId="0" fontId="19" fillId="12" borderId="24" xfId="7" applyAlignment="1">
      <alignment horizontal="center" vertical="center"/>
    </xf>
    <xf numFmtId="0" fontId="0" fillId="3" borderId="0" xfId="0" applyFill="1" applyBorder="1" applyAlignment="1">
      <alignment horizontal="center"/>
    </xf>
    <xf numFmtId="0" fontId="0" fillId="3" borderId="0" xfId="0" applyFill="1" applyBorder="1" applyAlignment="1">
      <alignment horizontal="center" vertical="center"/>
    </xf>
    <xf numFmtId="0" fontId="0" fillId="2" borderId="0" xfId="0" applyFill="1" applyBorder="1" applyAlignment="1">
      <alignment horizontal="center"/>
    </xf>
    <xf numFmtId="0" fontId="3" fillId="3" borderId="0" xfId="0" applyFont="1" applyFill="1" applyBorder="1" applyAlignment="1">
      <alignment horizontal="center" vertical="top"/>
    </xf>
    <xf numFmtId="0" fontId="16" fillId="3" borderId="0" xfId="4" applyFont="1" applyFill="1" applyBorder="1" applyAlignment="1">
      <alignment horizontal="center" vertical="center"/>
    </xf>
    <xf numFmtId="0" fontId="0" fillId="3" borderId="0" xfId="0" applyFill="1" applyBorder="1" applyAlignment="1"/>
    <xf numFmtId="0" fontId="0" fillId="8" borderId="0" xfId="0" applyFill="1" applyBorder="1" applyAlignment="1"/>
    <xf numFmtId="0" fontId="0" fillId="8" borderId="95" xfId="0" applyFill="1" applyBorder="1" applyAlignment="1">
      <alignment horizontal="center"/>
    </xf>
    <xf numFmtId="0" fontId="0" fillId="8" borderId="97" xfId="0" applyFill="1" applyBorder="1"/>
    <xf numFmtId="0" fontId="0" fillId="8" borderId="97" xfId="0" applyFill="1" applyBorder="1" applyAlignment="1">
      <alignment horizontal="center"/>
    </xf>
    <xf numFmtId="0" fontId="0" fillId="8" borderId="98" xfId="0" applyFill="1" applyBorder="1" applyAlignment="1">
      <alignment horizontal="center"/>
    </xf>
    <xf numFmtId="0" fontId="0" fillId="8" borderId="69" xfId="0" applyFill="1" applyBorder="1" applyAlignment="1">
      <alignment horizontal="center" vertical="center"/>
    </xf>
    <xf numFmtId="0" fontId="0" fillId="8" borderId="67" xfId="0" applyFill="1" applyBorder="1" applyAlignment="1">
      <alignment horizontal="center" vertical="center"/>
    </xf>
    <xf numFmtId="0" fontId="0" fillId="8" borderId="0" xfId="0" applyFill="1" applyAlignment="1"/>
    <xf numFmtId="0" fontId="16" fillId="10" borderId="0" xfId="4" applyFill="1" applyBorder="1" applyAlignment="1">
      <alignment horizontal="center" vertical="center"/>
    </xf>
    <xf numFmtId="0" fontId="16" fillId="10" borderId="94" xfId="4" applyFill="1" applyBorder="1" applyAlignment="1">
      <alignment horizontal="center" vertical="center"/>
    </xf>
    <xf numFmtId="164" fontId="0" fillId="10" borderId="0" xfId="0" applyNumberFormat="1" applyFill="1" applyBorder="1" applyAlignment="1">
      <alignment horizontal="center"/>
    </xf>
    <xf numFmtId="0" fontId="22" fillId="14" borderId="0" xfId="10" applyBorder="1" applyAlignment="1">
      <alignment horizontal="center"/>
    </xf>
    <xf numFmtId="0" fontId="22" fillId="14" borderId="100" xfId="10" applyBorder="1" applyAlignment="1">
      <alignment horizontal="center"/>
    </xf>
    <xf numFmtId="0" fontId="0" fillId="0" borderId="101" xfId="0" applyBorder="1" applyAlignment="1">
      <alignment horizontal="center"/>
    </xf>
    <xf numFmtId="0" fontId="3" fillId="0" borderId="104" xfId="0" applyFont="1" applyBorder="1" applyAlignment="1">
      <alignment horizontal="center"/>
    </xf>
    <xf numFmtId="0" fontId="0" fillId="10" borderId="101" xfId="0" applyFill="1" applyBorder="1"/>
    <xf numFmtId="0" fontId="0" fillId="10" borderId="39" xfId="0" applyFill="1" applyBorder="1" applyAlignment="1">
      <alignment horizontal="center" vertical="center"/>
    </xf>
    <xf numFmtId="0" fontId="0" fillId="10" borderId="41" xfId="0" applyFill="1" applyBorder="1" applyAlignment="1">
      <alignment horizontal="center"/>
    </xf>
    <xf numFmtId="0" fontId="0" fillId="10" borderId="43" xfId="0" applyFill="1" applyBorder="1" applyAlignment="1">
      <alignment horizontal="center" vertical="center"/>
    </xf>
    <xf numFmtId="0" fontId="0" fillId="10" borderId="45" xfId="0" applyFill="1" applyBorder="1" applyAlignment="1">
      <alignment horizontal="center"/>
    </xf>
    <xf numFmtId="0" fontId="0" fillId="10" borderId="46" xfId="0" applyFill="1" applyBorder="1" applyAlignment="1">
      <alignment horizontal="center" vertical="center"/>
    </xf>
    <xf numFmtId="0" fontId="0" fillId="10" borderId="48" xfId="0" applyFill="1" applyBorder="1" applyAlignment="1">
      <alignment horizontal="center"/>
    </xf>
    <xf numFmtId="0" fontId="0" fillId="10" borderId="48" xfId="0" applyFill="1" applyBorder="1" applyAlignment="1">
      <alignment horizontal="center" vertical="center"/>
    </xf>
    <xf numFmtId="0" fontId="0" fillId="10" borderId="38" xfId="0" applyFill="1" applyBorder="1" applyAlignment="1">
      <alignment horizontal="center"/>
    </xf>
    <xf numFmtId="0" fontId="16" fillId="10" borderId="46" xfId="4" applyFill="1" applyBorder="1" applyAlignment="1">
      <alignment horizontal="center" vertical="center"/>
    </xf>
    <xf numFmtId="0" fontId="0" fillId="10" borderId="47" xfId="0" applyFill="1" applyBorder="1" applyAlignment="1">
      <alignment horizontal="center" vertical="center"/>
    </xf>
    <xf numFmtId="0" fontId="0" fillId="10" borderId="41" xfId="0" applyFill="1" applyBorder="1" applyAlignment="1">
      <alignment horizontal="center" vertical="center"/>
    </xf>
    <xf numFmtId="0" fontId="0" fillId="10" borderId="41" xfId="0" applyFill="1" applyBorder="1"/>
    <xf numFmtId="0" fontId="0" fillId="10" borderId="46" xfId="0" applyFill="1" applyBorder="1"/>
    <xf numFmtId="0" fontId="0" fillId="10" borderId="40" xfId="0" applyFill="1" applyBorder="1" applyAlignment="1">
      <alignment horizontal="center" vertical="center"/>
    </xf>
    <xf numFmtId="0" fontId="0" fillId="10" borderId="42" xfId="0" applyFill="1" applyBorder="1" applyAlignment="1">
      <alignment horizontal="center" vertical="center"/>
    </xf>
    <xf numFmtId="0" fontId="0" fillId="10" borderId="38" xfId="0" applyFill="1" applyBorder="1" applyAlignment="1">
      <alignment horizontal="center" vertical="center"/>
    </xf>
    <xf numFmtId="0" fontId="0" fillId="10" borderId="44" xfId="0" applyFill="1" applyBorder="1" applyAlignment="1">
      <alignment horizontal="center" vertical="center"/>
    </xf>
    <xf numFmtId="0" fontId="0" fillId="10" borderId="45" xfId="0" applyFill="1" applyBorder="1" applyAlignment="1">
      <alignment horizontal="center" vertical="center"/>
    </xf>
    <xf numFmtId="164" fontId="0" fillId="10" borderId="41" xfId="0" applyNumberFormat="1" applyFill="1" applyBorder="1" applyAlignment="1">
      <alignment horizontal="center"/>
    </xf>
    <xf numFmtId="164" fontId="0" fillId="10" borderId="47" xfId="0" applyNumberFormat="1" applyFill="1" applyBorder="1" applyAlignment="1">
      <alignment horizontal="center"/>
    </xf>
    <xf numFmtId="164" fontId="0" fillId="10" borderId="48" xfId="0" applyNumberFormat="1" applyFill="1" applyBorder="1" applyAlignment="1">
      <alignment horizontal="center"/>
    </xf>
    <xf numFmtId="164" fontId="0" fillId="10" borderId="46" xfId="0" applyNumberFormat="1" applyFill="1" applyBorder="1" applyAlignment="1">
      <alignment horizontal="center"/>
    </xf>
    <xf numFmtId="0" fontId="0" fillId="6" borderId="0" xfId="0" applyFill="1" applyBorder="1" applyAlignment="1">
      <alignment horizontal="center"/>
    </xf>
    <xf numFmtId="0" fontId="0" fillId="10" borderId="46" xfId="0" applyFill="1" applyBorder="1" applyAlignment="1">
      <alignment horizontal="center" vertical="center"/>
    </xf>
    <xf numFmtId="0" fontId="0" fillId="8" borderId="69" xfId="0" applyFill="1" applyBorder="1" applyAlignment="1">
      <alignment horizontal="center" vertical="center"/>
    </xf>
    <xf numFmtId="0" fontId="0" fillId="8" borderId="98" xfId="0" applyFill="1" applyBorder="1" applyAlignment="1">
      <alignment horizontal="center"/>
    </xf>
    <xf numFmtId="164" fontId="0" fillId="0" borderId="102" xfId="0" applyNumberFormat="1" applyBorder="1" applyAlignment="1">
      <alignment horizontal="center"/>
    </xf>
    <xf numFmtId="0" fontId="3" fillId="0" borderId="103" xfId="0" applyFont="1" applyBorder="1" applyAlignment="1">
      <alignment horizontal="center"/>
    </xf>
    <xf numFmtId="164" fontId="3" fillId="0" borderId="0" xfId="0" applyNumberFormat="1" applyFont="1" applyAlignment="1">
      <alignment horizontal="center"/>
    </xf>
    <xf numFmtId="0" fontId="0" fillId="11" borderId="0" xfId="0" applyFill="1" applyBorder="1"/>
    <xf numFmtId="0" fontId="16" fillId="11" borderId="0" xfId="4" applyFill="1" applyBorder="1" applyAlignment="1">
      <alignment vertical="center"/>
    </xf>
    <xf numFmtId="0" fontId="0" fillId="11" borderId="105" xfId="0" applyFill="1" applyBorder="1" applyAlignment="1">
      <alignment horizontal="center"/>
    </xf>
    <xf numFmtId="0" fontId="0" fillId="11" borderId="107" xfId="0" applyFill="1" applyBorder="1" applyAlignment="1">
      <alignment horizontal="center"/>
    </xf>
    <xf numFmtId="0" fontId="0" fillId="11" borderId="106" xfId="0" applyFill="1" applyBorder="1" applyAlignment="1">
      <alignment horizontal="center"/>
    </xf>
    <xf numFmtId="0" fontId="0" fillId="11" borderId="106" xfId="0" applyFill="1" applyBorder="1"/>
    <xf numFmtId="164" fontId="0" fillId="11" borderId="107" xfId="0" applyNumberFormat="1" applyFill="1" applyBorder="1" applyAlignment="1">
      <alignment horizontal="center"/>
    </xf>
    <xf numFmtId="0" fontId="22" fillId="18" borderId="106" xfId="14" applyBorder="1" applyAlignment="1">
      <alignment horizontal="center" vertical="center"/>
    </xf>
    <xf numFmtId="0" fontId="22" fillId="18" borderId="105" xfId="14" applyBorder="1" applyAlignment="1">
      <alignment horizontal="center" vertical="center"/>
    </xf>
    <xf numFmtId="0" fontId="0" fillId="0" borderId="108" xfId="0" applyBorder="1"/>
    <xf numFmtId="2" fontId="0" fillId="11" borderId="107" xfId="0" applyNumberFormat="1" applyFill="1" applyBorder="1" applyAlignment="1">
      <alignment horizontal="center"/>
    </xf>
    <xf numFmtId="164" fontId="0" fillId="3" borderId="0" xfId="0" applyNumberFormat="1" applyFill="1" applyBorder="1" applyAlignment="1">
      <alignment horizontal="center"/>
    </xf>
    <xf numFmtId="0" fontId="19" fillId="12" borderId="24" xfId="7" applyAlignment="1">
      <alignment horizontal="center"/>
    </xf>
    <xf numFmtId="164" fontId="19" fillId="12" borderId="24" xfId="7" applyNumberFormat="1" applyAlignment="1">
      <alignment horizontal="center"/>
    </xf>
    <xf numFmtId="0" fontId="20" fillId="12" borderId="109" xfId="8" applyBorder="1" applyAlignment="1">
      <alignment horizontal="center"/>
    </xf>
    <xf numFmtId="164" fontId="20" fillId="12" borderId="109" xfId="8" applyNumberFormat="1" applyBorder="1" applyAlignment="1">
      <alignment horizontal="center"/>
    </xf>
    <xf numFmtId="2" fontId="20" fillId="12" borderId="109" xfId="8" applyNumberFormat="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left"/>
    </xf>
    <xf numFmtId="2" fontId="19" fillId="12" borderId="110" xfId="7" applyNumberFormat="1" applyBorder="1" applyAlignment="1">
      <alignment horizontal="center"/>
    </xf>
    <xf numFmtId="0" fontId="0" fillId="3" borderId="28" xfId="0" applyFill="1" applyBorder="1" applyAlignment="1">
      <alignment horizontal="left"/>
    </xf>
    <xf numFmtId="0" fontId="0" fillId="3" borderId="28" xfId="0" applyFill="1" applyBorder="1" applyAlignment="1">
      <alignment horizontal="center"/>
    </xf>
    <xf numFmtId="0" fontId="19" fillId="8" borderId="0" xfId="7" applyFill="1" applyBorder="1" applyAlignment="1">
      <alignment horizontal="center" vertical="center"/>
    </xf>
    <xf numFmtId="0" fontId="29" fillId="8" borderId="0" xfId="0" applyFont="1" applyFill="1" applyBorder="1" applyAlignment="1">
      <alignment vertical="center"/>
    </xf>
    <xf numFmtId="0" fontId="29" fillId="8" borderId="0" xfId="0" applyFont="1" applyFill="1" applyBorder="1" applyAlignment="1">
      <alignment horizontal="center" vertical="center"/>
    </xf>
    <xf numFmtId="0" fontId="0" fillId="8" borderId="95" xfId="0" applyFill="1" applyBorder="1" applyAlignment="1">
      <alignment horizontal="center" vertical="center"/>
    </xf>
    <xf numFmtId="0" fontId="0" fillId="8" borderId="98" xfId="0" applyFill="1" applyBorder="1" applyAlignment="1">
      <alignment horizontal="center" vertical="center"/>
    </xf>
    <xf numFmtId="0" fontId="0" fillId="8" borderId="95" xfId="0" applyFill="1" applyBorder="1"/>
    <xf numFmtId="0" fontId="0" fillId="8" borderId="97" xfId="0" applyFill="1" applyBorder="1" applyAlignment="1">
      <alignment horizontal="center"/>
    </xf>
    <xf numFmtId="0" fontId="0" fillId="8" borderId="97" xfId="0" applyFill="1" applyBorder="1"/>
    <xf numFmtId="0" fontId="0" fillId="8" borderId="97" xfId="0" applyFill="1" applyBorder="1" applyAlignment="1">
      <alignment horizontal="center" vertical="center"/>
    </xf>
    <xf numFmtId="2" fontId="0" fillId="3" borderId="0" xfId="0" applyNumberFormat="1" applyFill="1" applyBorder="1" applyAlignment="1">
      <alignment vertical="center"/>
    </xf>
    <xf numFmtId="0" fontId="0" fillId="6" borderId="114" xfId="0" applyFont="1" applyFill="1" applyBorder="1" applyAlignment="1">
      <alignment horizontal="center"/>
    </xf>
    <xf numFmtId="0" fontId="0" fillId="6" borderId="118" xfId="0" applyFont="1" applyFill="1" applyBorder="1" applyAlignment="1">
      <alignment horizontal="center"/>
    </xf>
    <xf numFmtId="0" fontId="0" fillId="3" borderId="32" xfId="0" applyFill="1" applyBorder="1" applyAlignment="1">
      <alignment horizontal="right"/>
    </xf>
    <xf numFmtId="0" fontId="0" fillId="3" borderId="34" xfId="0" applyFill="1" applyBorder="1" applyAlignment="1">
      <alignment horizontal="left"/>
    </xf>
    <xf numFmtId="0" fontId="3" fillId="6" borderId="114" xfId="0" applyFont="1" applyFill="1" applyBorder="1" applyAlignment="1">
      <alignment horizontal="center"/>
    </xf>
    <xf numFmtId="0" fontId="0" fillId="6" borderId="114" xfId="0" applyFill="1" applyBorder="1" applyAlignment="1">
      <alignment horizontal="center"/>
    </xf>
    <xf numFmtId="0" fontId="19" fillId="12" borderId="24" xfId="7" applyAlignment="1">
      <alignment horizontal="center"/>
    </xf>
    <xf numFmtId="0" fontId="0" fillId="6" borderId="122" xfId="0" applyFill="1" applyBorder="1"/>
    <xf numFmtId="0" fontId="0" fillId="6" borderId="122" xfId="0" applyFill="1" applyBorder="1" applyAlignment="1">
      <alignment horizontal="center"/>
    </xf>
    <xf numFmtId="0" fontId="0" fillId="6" borderId="118" xfId="0" applyFill="1" applyBorder="1"/>
    <xf numFmtId="0" fontId="0" fillId="6" borderId="118" xfId="0" applyFill="1" applyBorder="1" applyAlignment="1">
      <alignment horizontal="center"/>
    </xf>
    <xf numFmtId="0" fontId="0" fillId="6" borderId="122" xfId="0" applyFill="1" applyBorder="1" applyAlignment="1">
      <alignment horizontal="center" vertical="center"/>
    </xf>
    <xf numFmtId="0" fontId="0" fillId="6" borderId="118" xfId="0" applyFill="1" applyBorder="1" applyAlignment="1">
      <alignment horizontal="center" vertical="center"/>
    </xf>
    <xf numFmtId="0" fontId="0" fillId="8" borderId="123" xfId="0" applyFont="1" applyFill="1" applyBorder="1" applyAlignment="1">
      <alignment horizontal="center"/>
    </xf>
    <xf numFmtId="0" fontId="0" fillId="8" borderId="127" xfId="0" applyFill="1" applyBorder="1" applyAlignment="1">
      <alignment horizontal="center"/>
    </xf>
    <xf numFmtId="0" fontId="0" fillId="8" borderId="127" xfId="0" applyFont="1" applyFill="1" applyBorder="1" applyAlignment="1">
      <alignment horizontal="center"/>
    </xf>
    <xf numFmtId="0" fontId="0" fillId="8" borderId="123" xfId="0" applyFill="1" applyBorder="1" applyAlignment="1">
      <alignment horizontal="center"/>
    </xf>
    <xf numFmtId="0" fontId="0" fillId="8" borderId="126" xfId="0" applyFill="1" applyBorder="1" applyAlignment="1">
      <alignment horizontal="center"/>
    </xf>
    <xf numFmtId="0" fontId="0" fillId="8" borderId="124" xfId="0" applyFill="1" applyBorder="1" applyAlignment="1">
      <alignment horizontal="center"/>
    </xf>
    <xf numFmtId="0" fontId="0" fillId="8" borderId="127" xfId="0" applyFill="1" applyBorder="1"/>
    <xf numFmtId="0" fontId="0" fillId="8" borderId="131" xfId="0" applyFill="1" applyBorder="1" applyAlignment="1">
      <alignment horizontal="center"/>
    </xf>
    <xf numFmtId="0" fontId="0" fillId="8" borderId="132" xfId="0" applyFill="1" applyBorder="1" applyAlignment="1">
      <alignment horizontal="center"/>
    </xf>
    <xf numFmtId="0" fontId="0" fillId="8" borderId="133" xfId="0" applyFill="1" applyBorder="1" applyAlignment="1">
      <alignment horizontal="center"/>
    </xf>
    <xf numFmtId="0" fontId="0" fillId="8" borderId="130" xfId="0" applyFill="1" applyBorder="1" applyAlignment="1">
      <alignment horizontal="center"/>
    </xf>
    <xf numFmtId="0" fontId="0" fillId="8" borderId="128" xfId="0" applyFill="1" applyBorder="1" applyAlignment="1">
      <alignment horizontal="center"/>
    </xf>
    <xf numFmtId="0" fontId="0" fillId="8" borderId="123" xfId="0" applyFill="1" applyBorder="1"/>
    <xf numFmtId="0" fontId="0" fillId="8" borderId="131" xfId="0" applyFill="1" applyBorder="1"/>
    <xf numFmtId="0" fontId="0" fillId="8" borderId="132" xfId="0" applyFill="1" applyBorder="1"/>
    <xf numFmtId="0" fontId="0" fillId="8" borderId="127" xfId="0" applyFill="1" applyBorder="1" applyAlignment="1">
      <alignment horizontal="center" vertical="center"/>
    </xf>
    <xf numFmtId="0" fontId="0" fillId="8" borderId="133" xfId="0" applyFill="1" applyBorder="1" applyAlignment="1">
      <alignment horizontal="center" vertical="center"/>
    </xf>
    <xf numFmtId="0" fontId="9" fillId="8" borderId="0" xfId="1" applyFill="1" applyBorder="1" applyAlignment="1">
      <alignment vertical="center"/>
    </xf>
    <xf numFmtId="0" fontId="19" fillId="8" borderId="0" xfId="7" applyFill="1" applyBorder="1" applyAlignment="1">
      <alignment vertical="center"/>
    </xf>
    <xf numFmtId="0" fontId="16" fillId="3" borderId="0" xfId="4" applyFill="1" applyBorder="1" applyAlignment="1">
      <alignment vertical="center"/>
    </xf>
    <xf numFmtId="0" fontId="9" fillId="3" borderId="0" xfId="1" applyFill="1" applyBorder="1" applyAlignment="1">
      <alignment vertical="center"/>
    </xf>
    <xf numFmtId="2" fontId="20" fillId="3" borderId="0" xfId="8" applyNumberFormat="1" applyFill="1" applyBorder="1" applyAlignment="1">
      <alignment vertical="center"/>
    </xf>
    <xf numFmtId="0" fontId="20" fillId="3" borderId="0" xfId="8" applyFill="1" applyBorder="1" applyAlignment="1">
      <alignment vertical="center"/>
    </xf>
    <xf numFmtId="2" fontId="19" fillId="12" borderId="24" xfId="7" applyNumberFormat="1" applyAlignment="1">
      <alignment horizontal="center" vertical="center"/>
    </xf>
    <xf numFmtId="0" fontId="16" fillId="3" borderId="94" xfId="4" applyFont="1" applyFill="1" applyBorder="1" applyAlignment="1">
      <alignment horizontal="center" vertical="center"/>
    </xf>
    <xf numFmtId="1" fontId="0" fillId="3" borderId="0" xfId="0" applyNumberFormat="1" applyFill="1" applyBorder="1" applyAlignment="1">
      <alignment horizontal="center"/>
    </xf>
    <xf numFmtId="1" fontId="19" fillId="12" borderId="24" xfId="7" applyNumberFormat="1" applyAlignment="1">
      <alignment horizontal="center"/>
    </xf>
    <xf numFmtId="0" fontId="0" fillId="3" borderId="94" xfId="0" applyFill="1" applyBorder="1" applyAlignment="1">
      <alignment horizontal="center" vertical="center"/>
    </xf>
    <xf numFmtId="0" fontId="19" fillId="12" borderId="24" xfId="7" applyAlignment="1">
      <alignment vertical="center"/>
    </xf>
    <xf numFmtId="0" fontId="19" fillId="0" borderId="0" xfId="7" applyFill="1" applyBorder="1" applyAlignment="1">
      <alignment vertical="center"/>
    </xf>
    <xf numFmtId="0" fontId="20" fillId="12" borderId="135" xfId="8" applyBorder="1" applyAlignment="1">
      <alignment vertical="center"/>
    </xf>
    <xf numFmtId="0" fontId="20" fillId="12" borderId="109" xfId="8" applyBorder="1" applyAlignment="1">
      <alignment vertical="center"/>
    </xf>
    <xf numFmtId="0" fontId="9" fillId="6" borderId="0" xfId="1" applyFill="1" applyBorder="1" applyAlignment="1">
      <alignment horizontal="left" vertical="center"/>
    </xf>
    <xf numFmtId="0" fontId="9" fillId="6" borderId="0" xfId="1" applyFill="1" applyBorder="1" applyAlignment="1">
      <alignment horizontal="center" vertical="center"/>
    </xf>
    <xf numFmtId="0" fontId="0" fillId="6" borderId="0" xfId="0" applyFill="1" applyAlignment="1">
      <alignment horizontal="center"/>
    </xf>
    <xf numFmtId="0" fontId="9" fillId="6" borderId="0" xfId="1" applyFill="1" applyBorder="1" applyAlignment="1">
      <alignment vertical="center"/>
    </xf>
    <xf numFmtId="0" fontId="0" fillId="10" borderId="40" xfId="0" applyFill="1" applyBorder="1" applyAlignment="1">
      <alignment vertical="center"/>
    </xf>
    <xf numFmtId="0" fontId="0" fillId="10" borderId="41" xfId="0" applyFill="1" applyBorder="1" applyAlignment="1">
      <alignment vertical="center"/>
    </xf>
    <xf numFmtId="0" fontId="0" fillId="10" borderId="42" xfId="0" applyFill="1" applyBorder="1" applyAlignment="1">
      <alignment horizontal="center"/>
    </xf>
    <xf numFmtId="0" fontId="20" fillId="12" borderId="0" xfId="8" applyBorder="1" applyAlignment="1">
      <alignment horizontal="center"/>
    </xf>
    <xf numFmtId="0" fontId="0" fillId="8" borderId="69" xfId="0" applyFill="1" applyBorder="1" applyAlignment="1">
      <alignment vertical="center"/>
    </xf>
    <xf numFmtId="0" fontId="28" fillId="8" borderId="137" xfId="0" applyFont="1" applyFill="1" applyBorder="1" applyAlignment="1">
      <alignment horizontal="center"/>
    </xf>
    <xf numFmtId="0" fontId="0" fillId="8" borderId="68" xfId="0" applyFill="1" applyBorder="1" applyAlignment="1">
      <alignment vertical="center"/>
    </xf>
    <xf numFmtId="0" fontId="0" fillId="8" borderId="98" xfId="0" applyFill="1" applyBorder="1"/>
    <xf numFmtId="0" fontId="0" fillId="8" borderId="70" xfId="0" applyFill="1" applyBorder="1" applyAlignment="1">
      <alignment vertical="center"/>
    </xf>
    <xf numFmtId="0" fontId="20" fillId="12" borderId="139" xfId="8" applyBorder="1" applyAlignment="1">
      <alignment horizontal="center"/>
    </xf>
    <xf numFmtId="0" fontId="0" fillId="6" borderId="140" xfId="0" applyFill="1" applyBorder="1" applyAlignment="1">
      <alignment horizontal="center"/>
    </xf>
    <xf numFmtId="0" fontId="16" fillId="8" borderId="0" xfId="4" applyFill="1" applyBorder="1" applyAlignment="1">
      <alignment vertical="center"/>
    </xf>
    <xf numFmtId="2" fontId="19" fillId="12" borderId="141" xfId="7" applyNumberFormat="1" applyBorder="1" applyAlignment="1">
      <alignment horizontal="center"/>
    </xf>
    <xf numFmtId="2" fontId="19" fillId="8" borderId="0" xfId="7" applyNumberFormat="1" applyFill="1" applyBorder="1" applyAlignment="1">
      <alignment horizontal="center"/>
    </xf>
    <xf numFmtId="2" fontId="0" fillId="8" borderId="83" xfId="0" applyNumberFormat="1" applyFill="1" applyBorder="1"/>
    <xf numFmtId="0" fontId="0" fillId="8" borderId="81" xfId="0" applyFill="1" applyBorder="1"/>
    <xf numFmtId="0" fontId="32" fillId="0" borderId="0" xfId="0" applyFont="1" applyAlignment="1">
      <alignment horizontal="center"/>
    </xf>
    <xf numFmtId="0" fontId="32" fillId="0" borderId="0" xfId="0" applyFont="1" applyAlignment="1"/>
    <xf numFmtId="0" fontId="32" fillId="0" borderId="0" xfId="0" applyFont="1"/>
    <xf numFmtId="0" fontId="17" fillId="0" borderId="19" xfId="5" applyAlignment="1"/>
    <xf numFmtId="0" fontId="16" fillId="0" borderId="18" xfId="4" applyAlignment="1">
      <alignment vertical="center"/>
    </xf>
    <xf numFmtId="0" fontId="17" fillId="0" borderId="19" xfId="5" applyFill="1" applyAlignment="1">
      <alignment horizontal="left" vertical="center"/>
    </xf>
    <xf numFmtId="0" fontId="0" fillId="8" borderId="83" xfId="0" applyFill="1" applyBorder="1" applyAlignment="1">
      <alignment horizontal="center"/>
    </xf>
    <xf numFmtId="0" fontId="16" fillId="0" borderId="0" xfId="4" applyBorder="1" applyAlignment="1">
      <alignment vertical="center" wrapText="1"/>
    </xf>
    <xf numFmtId="0" fontId="16" fillId="0" borderId="18" xfId="4" applyBorder="1" applyAlignment="1">
      <alignment vertical="center" wrapText="1"/>
    </xf>
    <xf numFmtId="0" fontId="32" fillId="0" borderId="0" xfId="0" applyFont="1" applyFill="1" applyBorder="1" applyAlignment="1">
      <alignment horizontal="left" vertical="center"/>
    </xf>
    <xf numFmtId="0" fontId="33" fillId="0" borderId="0" xfId="0" applyFont="1" applyFill="1" applyBorder="1" applyAlignment="1">
      <alignment horizontal="center" vertical="center"/>
    </xf>
    <xf numFmtId="0" fontId="33" fillId="0" borderId="0" xfId="0" applyFont="1" applyFill="1" applyBorder="1"/>
    <xf numFmtId="0" fontId="32" fillId="0" borderId="0" xfId="0" applyFont="1" applyFill="1" applyBorder="1"/>
    <xf numFmtId="0" fontId="32" fillId="0" borderId="0" xfId="0" applyFont="1" applyFill="1" applyBorder="1" applyAlignment="1">
      <alignment horizontal="right"/>
    </xf>
    <xf numFmtId="2" fontId="32" fillId="0" borderId="0" xfId="0" applyNumberFormat="1" applyFont="1" applyFill="1" applyBorder="1" applyAlignment="1">
      <alignment horizontal="center"/>
    </xf>
    <xf numFmtId="0" fontId="32" fillId="0" borderId="0" xfId="0" applyFont="1" applyFill="1" applyBorder="1" applyAlignment="1">
      <alignment horizontal="center"/>
    </xf>
    <xf numFmtId="0" fontId="33" fillId="0" borderId="0" xfId="0" applyFont="1" applyFill="1" applyBorder="1" applyAlignment="1">
      <alignment horizont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8" xfId="0" applyFill="1" applyBorder="1" applyAlignment="1">
      <alignment horizontal="center" vertical="center"/>
    </xf>
    <xf numFmtId="0" fontId="0" fillId="10" borderId="46" xfId="0" applyFill="1" applyBorder="1" applyAlignment="1">
      <alignment horizontal="center"/>
    </xf>
    <xf numFmtId="0" fontId="0" fillId="10" borderId="0" xfId="0" applyFill="1" applyBorder="1" applyAlignment="1">
      <alignment horizontal="center"/>
    </xf>
    <xf numFmtId="0" fontId="0" fillId="10" borderId="0" xfId="0" applyFill="1" applyBorder="1" applyAlignment="1">
      <alignment horizontal="center" vertical="center"/>
    </xf>
    <xf numFmtId="0" fontId="0" fillId="3" borderId="0" xfId="0" applyFill="1" applyBorder="1" applyAlignment="1">
      <alignment horizontal="center" vertical="center"/>
    </xf>
    <xf numFmtId="164" fontId="3" fillId="0" borderId="9" xfId="0" applyNumberFormat="1" applyFont="1" applyBorder="1" applyAlignment="1">
      <alignment horizontal="center" vertical="center"/>
    </xf>
    <xf numFmtId="0" fontId="22" fillId="14" borderId="8" xfId="10" applyBorder="1" applyAlignment="1">
      <alignment horizontal="center" vertical="center"/>
    </xf>
    <xf numFmtId="0" fontId="0" fillId="0" borderId="0" xfId="0" applyAlignment="1">
      <alignment horizontal="center" wrapText="1"/>
    </xf>
    <xf numFmtId="0" fontId="32" fillId="0" borderId="4" xfId="0" applyFont="1" applyBorder="1" applyAlignment="1">
      <alignment horizontal="center" wrapText="1"/>
    </xf>
    <xf numFmtId="2" fontId="32" fillId="0" borderId="4" xfId="0" applyNumberFormat="1" applyFont="1" applyBorder="1" applyAlignment="1">
      <alignment horizontal="center" vertical="center" wrapText="1"/>
    </xf>
    <xf numFmtId="0" fontId="0" fillId="0" borderId="0" xfId="0" applyFill="1" applyBorder="1" applyAlignment="1">
      <alignment horizontal="center" vertical="center"/>
    </xf>
    <xf numFmtId="0" fontId="0" fillId="10" borderId="0" xfId="0" applyFill="1" applyBorder="1" applyAlignment="1">
      <alignment horizontal="center"/>
    </xf>
    <xf numFmtId="0" fontId="0" fillId="10" borderId="0" xfId="0" applyFill="1" applyBorder="1" applyAlignment="1">
      <alignment horizontal="center" vertical="center"/>
    </xf>
    <xf numFmtId="0" fontId="0" fillId="2" borderId="0" xfId="0" applyFill="1" applyBorder="1" applyAlignment="1">
      <alignment horizontal="center" vertical="center"/>
    </xf>
    <xf numFmtId="0" fontId="32" fillId="0" borderId="0" xfId="0" applyFont="1" applyFill="1" applyBorder="1" applyAlignment="1">
      <alignment horizontal="center" vertical="center"/>
    </xf>
    <xf numFmtId="0" fontId="21" fillId="10" borderId="0" xfId="0" applyFont="1" applyFill="1"/>
    <xf numFmtId="0" fontId="21" fillId="10" borderId="38" xfId="0" applyFont="1" applyFill="1" applyBorder="1"/>
    <xf numFmtId="0" fontId="1" fillId="8" borderId="0" xfId="0" applyFont="1" applyFill="1" applyBorder="1" applyAlignment="1">
      <alignment horizontal="center" vertical="center"/>
    </xf>
    <xf numFmtId="0" fontId="0" fillId="8" borderId="0" xfId="0" applyFont="1" applyFill="1" applyBorder="1" applyAlignment="1">
      <alignment horizontal="center"/>
    </xf>
    <xf numFmtId="0" fontId="0" fillId="8" borderId="0" xfId="0" applyFill="1" applyAlignment="1">
      <alignment horizontal="center" vertical="center"/>
    </xf>
    <xf numFmtId="0" fontId="6" fillId="3" borderId="0" xfId="0" applyFont="1" applyFill="1" applyBorder="1" applyAlignment="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center" vertical="center"/>
    </xf>
    <xf numFmtId="0" fontId="3" fillId="3" borderId="0" xfId="0" applyFont="1" applyFill="1" applyBorder="1"/>
    <xf numFmtId="0" fontId="0" fillId="3" borderId="0" xfId="0" applyFill="1" applyAlignment="1">
      <alignment horizontal="center" vertical="center"/>
    </xf>
    <xf numFmtId="0" fontId="0" fillId="3" borderId="0" xfId="0" applyFont="1" applyFill="1" applyBorder="1" applyAlignment="1">
      <alignment horizontal="center" vertical="center"/>
    </xf>
    <xf numFmtId="0" fontId="0" fillId="3" borderId="0" xfId="0" applyFont="1" applyFill="1" applyBorder="1" applyAlignment="1">
      <alignment horizontal="center"/>
    </xf>
    <xf numFmtId="0" fontId="3" fillId="0" borderId="0" xfId="0" applyFont="1" applyFill="1" applyBorder="1"/>
    <xf numFmtId="0" fontId="3" fillId="10" borderId="47" xfId="0" applyFont="1" applyFill="1" applyBorder="1" applyAlignment="1">
      <alignment horizontal="center" vertical="center"/>
    </xf>
    <xf numFmtId="0" fontId="3" fillId="10" borderId="48" xfId="0" applyFont="1" applyFill="1" applyBorder="1" applyAlignment="1">
      <alignment horizontal="center" vertical="center"/>
    </xf>
    <xf numFmtId="0" fontId="32" fillId="0" borderId="7" xfId="0" applyFont="1" applyBorder="1" applyAlignment="1">
      <alignment horizontal="center" wrapText="1"/>
    </xf>
    <xf numFmtId="2" fontId="32" fillId="0" borderId="8" xfId="0" applyNumberFormat="1" applyFont="1" applyBorder="1" applyAlignment="1">
      <alignment horizontal="center" vertical="center" wrapText="1"/>
    </xf>
    <xf numFmtId="0" fontId="32" fillId="0" borderId="8" xfId="0" applyFont="1" applyBorder="1" applyAlignment="1">
      <alignment horizontal="center" wrapText="1"/>
    </xf>
    <xf numFmtId="2" fontId="19" fillId="10" borderId="0" xfId="7" applyNumberFormat="1" applyFill="1" applyBorder="1" applyAlignment="1">
      <alignment horizontal="center"/>
    </xf>
    <xf numFmtId="0" fontId="0" fillId="10" borderId="145" xfId="0" applyFill="1" applyBorder="1"/>
    <xf numFmtId="0" fontId="0" fillId="10" borderId="145" xfId="0" applyFill="1" applyBorder="1" applyAlignment="1">
      <alignment horizontal="center"/>
    </xf>
    <xf numFmtId="2" fontId="19" fillId="12" borderId="145" xfId="7" applyNumberFormat="1" applyBorder="1" applyAlignment="1">
      <alignment horizontal="center"/>
    </xf>
    <xf numFmtId="2" fontId="0" fillId="10" borderId="145" xfId="0" applyNumberFormat="1" applyFill="1" applyBorder="1" applyAlignment="1">
      <alignment horizontal="center"/>
    </xf>
    <xf numFmtId="2" fontId="0" fillId="10" borderId="145" xfId="0" applyNumberFormat="1" applyFill="1" applyBorder="1"/>
    <xf numFmtId="2" fontId="0" fillId="0" borderId="0" xfId="0" applyNumberFormat="1" applyBorder="1" applyAlignment="1">
      <alignment horizontal="right"/>
    </xf>
    <xf numFmtId="0" fontId="0" fillId="3" borderId="0" xfId="0" applyFill="1" applyBorder="1" applyAlignment="1">
      <alignment horizontal="center"/>
    </xf>
    <xf numFmtId="0" fontId="0" fillId="3" borderId="0" xfId="0" applyFill="1" applyAlignment="1">
      <alignment horizontal="center"/>
    </xf>
    <xf numFmtId="0" fontId="3" fillId="3" borderId="0" xfId="0" applyFont="1" applyFill="1" applyBorder="1" applyAlignment="1">
      <alignment horizontal="center" vertical="center"/>
    </xf>
    <xf numFmtId="0" fontId="0" fillId="3" borderId="0" xfId="0" applyFill="1" applyBorder="1" applyAlignment="1">
      <alignment horizontal="center"/>
    </xf>
    <xf numFmtId="0" fontId="0" fillId="3" borderId="0" xfId="0" applyFill="1" applyBorder="1" applyAlignment="1">
      <alignment horizontal="center" vertical="center"/>
    </xf>
    <xf numFmtId="0" fontId="3" fillId="0" borderId="0" xfId="0" applyFont="1" applyBorder="1" applyAlignment="1">
      <alignment vertical="center"/>
    </xf>
    <xf numFmtId="0" fontId="0" fillId="3" borderId="0" xfId="0" applyFill="1" applyBorder="1" applyAlignment="1">
      <alignment horizontal="center" vertical="center"/>
    </xf>
    <xf numFmtId="0" fontId="1" fillId="3" borderId="0" xfId="0" applyFont="1" applyFill="1" applyBorder="1" applyAlignment="1">
      <alignment horizontal="center" vertical="center"/>
    </xf>
    <xf numFmtId="0" fontId="3" fillId="8" borderId="0" xfId="0" applyFont="1" applyFill="1" applyBorder="1" applyAlignment="1">
      <alignment horizontal="left" vertical="center"/>
    </xf>
    <xf numFmtId="0" fontId="12" fillId="8" borderId="0" xfId="2" applyFont="1" applyFill="1" applyBorder="1" applyAlignment="1">
      <alignment horizontal="center" vertical="center"/>
    </xf>
    <xf numFmtId="0" fontId="11" fillId="8" borderId="0" xfId="3" applyFill="1" applyBorder="1" applyAlignment="1">
      <alignment horizontal="center"/>
    </xf>
    <xf numFmtId="0" fontId="3" fillId="3" borderId="0" xfId="0" applyFont="1" applyFill="1" applyBorder="1" applyAlignment="1">
      <alignment horizontal="center"/>
    </xf>
    <xf numFmtId="0" fontId="3" fillId="3" borderId="0" xfId="0" applyFont="1" applyFill="1" applyBorder="1" applyAlignment="1">
      <alignment horizontal="center" vertical="center"/>
    </xf>
    <xf numFmtId="0" fontId="0" fillId="6" borderId="0" xfId="0" applyFill="1" applyBorder="1" applyAlignment="1">
      <alignment horizontal="center"/>
    </xf>
    <xf numFmtId="0" fontId="0" fillId="2" borderId="0" xfId="0" applyFill="1" applyBorder="1" applyAlignment="1">
      <alignment horizontal="center" vertical="center"/>
    </xf>
    <xf numFmtId="0" fontId="19" fillId="12" borderId="24" xfId="7" applyAlignment="1">
      <alignment horizontal="center"/>
    </xf>
    <xf numFmtId="0" fontId="0" fillId="10" borderId="0" xfId="0" applyFill="1" applyBorder="1" applyAlignment="1">
      <alignment horizontal="center"/>
    </xf>
    <xf numFmtId="0" fontId="22" fillId="14" borderId="0" xfId="10" applyAlignment="1">
      <alignment horizontal="center"/>
    </xf>
    <xf numFmtId="0" fontId="0" fillId="2" borderId="0" xfId="0" applyFill="1" applyAlignment="1">
      <alignment horizontal="center"/>
    </xf>
    <xf numFmtId="2" fontId="0" fillId="2" borderId="0" xfId="0" applyNumberFormat="1" applyFill="1" applyAlignment="1">
      <alignment horizontal="center"/>
    </xf>
    <xf numFmtId="0" fontId="0" fillId="22" borderId="114" xfId="0" applyFill="1" applyBorder="1" applyAlignment="1">
      <alignment horizontal="center"/>
    </xf>
    <xf numFmtId="0" fontId="4" fillId="22" borderId="118" xfId="0" applyFont="1" applyFill="1" applyBorder="1" applyAlignment="1">
      <alignment horizontal="center"/>
    </xf>
    <xf numFmtId="0" fontId="34" fillId="10" borderId="0" xfId="0" applyFont="1" applyFill="1" applyBorder="1" applyAlignment="1"/>
    <xf numFmtId="0" fontId="0" fillId="10" borderId="0" xfId="0" applyFill="1" applyAlignment="1">
      <alignment vertical="center"/>
    </xf>
    <xf numFmtId="0" fontId="0" fillId="2" borderId="0" xfId="0" applyFill="1" applyAlignment="1">
      <alignment horizontal="center" vertical="center"/>
    </xf>
    <xf numFmtId="0" fontId="11" fillId="2" borderId="0" xfId="3" applyFill="1" applyBorder="1" applyAlignment="1">
      <alignment horizontal="center" vertical="center"/>
    </xf>
    <xf numFmtId="0" fontId="16" fillId="2" borderId="18" xfId="4" applyFill="1" applyAlignment="1">
      <alignment horizontal="center" vertical="center"/>
    </xf>
    <xf numFmtId="0" fontId="16" fillId="0" borderId="18" xfId="4" applyFill="1" applyAlignment="1">
      <alignment horizontal="center" vertical="center"/>
    </xf>
    <xf numFmtId="0" fontId="9" fillId="0" borderId="17" xfId="1" applyFill="1" applyBorder="1" applyAlignment="1">
      <alignment horizontal="center" vertical="center"/>
    </xf>
    <xf numFmtId="0" fontId="9" fillId="0" borderId="1" xfId="1" applyFill="1" applyBorder="1" applyAlignment="1">
      <alignment horizontal="center" vertical="center"/>
    </xf>
    <xf numFmtId="0" fontId="12" fillId="21" borderId="16" xfId="2" applyFont="1" applyFill="1" applyAlignment="1">
      <alignment horizontal="center" vertical="center"/>
    </xf>
    <xf numFmtId="0" fontId="12" fillId="21" borderId="142" xfId="2" applyFont="1" applyFill="1" applyBorder="1" applyAlignment="1">
      <alignment horizontal="center" vertical="center"/>
    </xf>
    <xf numFmtId="0" fontId="12" fillId="21" borderId="143" xfId="2" applyFont="1" applyFill="1" applyBorder="1" applyAlignment="1">
      <alignment horizontal="center" vertical="center"/>
    </xf>
    <xf numFmtId="0" fontId="10" fillId="21" borderId="16" xfId="2" applyFill="1" applyAlignment="1">
      <alignment horizontal="center" vertical="center"/>
    </xf>
    <xf numFmtId="0" fontId="3" fillId="3" borderId="0" xfId="0" applyFont="1" applyFill="1" applyBorder="1" applyAlignment="1">
      <alignment horizontal="center" vertical="center"/>
    </xf>
    <xf numFmtId="0" fontId="11" fillId="2" borderId="0" xfId="3" applyFill="1" applyBorder="1" applyAlignment="1">
      <alignment horizontal="center"/>
    </xf>
    <xf numFmtId="0" fontId="10" fillId="21" borderId="16" xfId="2" applyFill="1" applyBorder="1" applyAlignment="1">
      <alignment horizontal="center" vertical="center"/>
    </xf>
    <xf numFmtId="0" fontId="10" fillId="21" borderId="144" xfId="2" applyFill="1" applyBorder="1" applyAlignment="1">
      <alignment horizontal="center" vertical="center"/>
    </xf>
    <xf numFmtId="0" fontId="6" fillId="3" borderId="0" xfId="0" applyFont="1" applyFill="1" applyBorder="1" applyAlignment="1">
      <alignment horizontal="center" vertical="center"/>
    </xf>
    <xf numFmtId="0" fontId="11" fillId="2" borderId="7" xfId="3" applyFill="1" applyBorder="1" applyAlignment="1">
      <alignment horizontal="center" vertical="center"/>
    </xf>
    <xf numFmtId="0" fontId="11" fillId="2" borderId="8" xfId="3" applyFill="1" applyBorder="1" applyAlignment="1">
      <alignment horizontal="center" vertical="center"/>
    </xf>
    <xf numFmtId="0" fontId="11" fillId="2" borderId="9" xfId="3" applyFill="1" applyBorder="1" applyAlignment="1">
      <alignment horizontal="center" vertical="center"/>
    </xf>
    <xf numFmtId="0" fontId="11" fillId="2" borderId="2" xfId="3" applyFill="1" applyBorder="1" applyAlignment="1">
      <alignment horizontal="center" vertical="center"/>
    </xf>
    <xf numFmtId="0" fontId="11" fillId="2" borderId="12" xfId="3" applyFill="1" applyBorder="1" applyAlignment="1">
      <alignment horizontal="center" vertical="center"/>
    </xf>
    <xf numFmtId="0" fontId="11" fillId="2" borderId="3" xfId="3" applyFill="1" applyBorder="1" applyAlignment="1">
      <alignment horizontal="center" vertical="center"/>
    </xf>
    <xf numFmtId="0" fontId="3" fillId="3" borderId="11" xfId="0" applyFont="1" applyFill="1" applyBorder="1" applyAlignment="1">
      <alignment horizontal="center" vertical="center"/>
    </xf>
    <xf numFmtId="0" fontId="11" fillId="2" borderId="7" xfId="3" applyFill="1" applyBorder="1" applyAlignment="1">
      <alignment horizontal="center"/>
    </xf>
    <xf numFmtId="0" fontId="11" fillId="2" borderId="9" xfId="3" applyFill="1" applyBorder="1" applyAlignment="1">
      <alignment horizontal="center"/>
    </xf>
    <xf numFmtId="0" fontId="11" fillId="2" borderId="2" xfId="3" applyFill="1" applyBorder="1" applyAlignment="1">
      <alignment horizontal="center"/>
    </xf>
    <xf numFmtId="0" fontId="11" fillId="2" borderId="3" xfId="3" applyFill="1" applyBorder="1" applyAlignment="1">
      <alignment horizontal="center"/>
    </xf>
    <xf numFmtId="0" fontId="11" fillId="2" borderId="0" xfId="3" applyFill="1" applyBorder="1" applyAlignment="1">
      <alignment horizontal="center" vertical="center" wrapText="1"/>
    </xf>
    <xf numFmtId="0" fontId="12" fillId="21" borderId="136" xfId="2" applyFont="1" applyFill="1" applyBorder="1" applyAlignment="1">
      <alignment horizontal="center" vertical="center"/>
    </xf>
    <xf numFmtId="0" fontId="12" fillId="21" borderId="138" xfId="2" applyFont="1" applyFill="1" applyBorder="1" applyAlignment="1">
      <alignment horizontal="center" vertical="center"/>
    </xf>
    <xf numFmtId="0" fontId="3" fillId="3" borderId="0" xfId="0" applyFont="1" applyFill="1" applyBorder="1" applyAlignment="1">
      <alignment horizontal="center"/>
    </xf>
    <xf numFmtId="0" fontId="6" fillId="8" borderId="0" xfId="0" applyFont="1" applyFill="1" applyBorder="1" applyAlignment="1">
      <alignment horizontal="center" vertical="center"/>
    </xf>
    <xf numFmtId="0" fontId="5"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0" xfId="0" applyFont="1" applyFill="1" applyBorder="1" applyAlignment="1">
      <alignment horizontal="center" vertical="center"/>
    </xf>
    <xf numFmtId="0" fontId="3" fillId="6" borderId="11" xfId="0" applyFont="1" applyFill="1" applyBorder="1" applyAlignment="1">
      <alignment horizontal="center" vertical="center"/>
    </xf>
    <xf numFmtId="0" fontId="3" fillId="4" borderId="2" xfId="0" applyFont="1" applyFill="1" applyBorder="1" applyAlignment="1">
      <alignment horizontal="center" vertical="top"/>
    </xf>
    <xf numFmtId="0" fontId="3" fillId="4" borderId="12" xfId="0" applyFont="1" applyFill="1" applyBorder="1" applyAlignment="1">
      <alignment horizontal="center" vertical="top"/>
    </xf>
    <xf numFmtId="0" fontId="3" fillId="4" borderId="3" xfId="0" applyFont="1" applyFill="1" applyBorder="1" applyAlignment="1">
      <alignment horizontal="center" vertical="top"/>
    </xf>
    <xf numFmtId="0" fontId="11" fillId="2" borderId="8" xfId="3" applyFill="1" applyBorder="1" applyAlignment="1">
      <alignment horizontal="center"/>
    </xf>
    <xf numFmtId="0" fontId="11" fillId="2" borderId="12" xfId="3" applyFill="1" applyBorder="1" applyAlignment="1">
      <alignment horizontal="center"/>
    </xf>
    <xf numFmtId="0" fontId="17" fillId="0" borderId="19" xfId="5" applyFill="1" applyAlignment="1">
      <alignment horizontal="center" vertical="center"/>
    </xf>
    <xf numFmtId="0" fontId="5" fillId="6" borderId="0" xfId="0" applyFont="1" applyFill="1" applyBorder="1" applyAlignment="1">
      <alignment horizontal="center" vertical="center"/>
    </xf>
    <xf numFmtId="0" fontId="3" fillId="4" borderId="0" xfId="0" applyFont="1" applyFill="1" applyBorder="1" applyAlignment="1">
      <alignment horizontal="center" vertical="top"/>
    </xf>
    <xf numFmtId="0" fontId="16" fillId="0" borderId="0" xfId="4" applyFill="1" applyBorder="1" applyAlignment="1">
      <alignment horizontal="center" vertical="center"/>
    </xf>
    <xf numFmtId="0" fontId="9" fillId="0" borderId="15" xfId="1" applyFill="1" applyAlignment="1">
      <alignment horizontal="center" vertical="center"/>
    </xf>
    <xf numFmtId="0" fontId="9" fillId="0" borderId="0" xfId="1" applyFill="1" applyBorder="1" applyAlignment="1">
      <alignment horizontal="center" vertical="center"/>
    </xf>
    <xf numFmtId="0" fontId="9" fillId="0" borderId="15" xfId="1" applyFill="1" applyBorder="1" applyAlignment="1">
      <alignment horizontal="center" vertical="center"/>
    </xf>
    <xf numFmtId="0" fontId="0" fillId="0" borderId="0" xfId="0" applyFill="1" applyBorder="1" applyAlignment="1">
      <alignment horizontal="center" vertical="center"/>
    </xf>
    <xf numFmtId="0" fontId="0" fillId="6" borderId="0" xfId="0" applyFill="1" applyBorder="1" applyAlignment="1">
      <alignment horizontal="center"/>
    </xf>
    <xf numFmtId="0" fontId="0" fillId="2" borderId="0" xfId="0" applyFill="1" applyBorder="1" applyAlignment="1">
      <alignment horizontal="center" vertical="center"/>
    </xf>
    <xf numFmtId="0" fontId="16" fillId="0" borderId="18" xfId="4" applyFill="1" applyBorder="1" applyAlignment="1">
      <alignment horizontal="center" vertical="center"/>
    </xf>
    <xf numFmtId="0" fontId="17" fillId="2" borderId="19" xfId="5" applyFill="1" applyAlignment="1">
      <alignment horizontal="center" vertical="center"/>
    </xf>
    <xf numFmtId="0" fontId="22" fillId="14" borderId="0" xfId="10" applyBorder="1" applyAlignment="1">
      <alignment horizontal="center" vertical="center"/>
    </xf>
    <xf numFmtId="0" fontId="9" fillId="2" borderId="15" xfId="1" applyFill="1" applyAlignment="1">
      <alignment horizontal="center" vertical="center"/>
    </xf>
    <xf numFmtId="0" fontId="3" fillId="4" borderId="5" xfId="0" applyFont="1" applyFill="1" applyBorder="1" applyAlignment="1">
      <alignment horizontal="center" vertical="top"/>
    </xf>
    <xf numFmtId="0" fontId="3" fillId="4" borderId="14" xfId="0" applyFont="1" applyFill="1" applyBorder="1" applyAlignment="1">
      <alignment horizontal="center" vertical="top"/>
    </xf>
    <xf numFmtId="0" fontId="3" fillId="4" borderId="6" xfId="0" applyFont="1" applyFill="1" applyBorder="1" applyAlignment="1">
      <alignment horizontal="center" vertical="top"/>
    </xf>
    <xf numFmtId="0" fontId="21" fillId="10" borderId="0" xfId="0" applyFont="1" applyFill="1" applyBorder="1" applyAlignment="1">
      <alignment horizontal="center"/>
    </xf>
    <xf numFmtId="0" fontId="21" fillId="10" borderId="38" xfId="0" applyFont="1" applyFill="1" applyBorder="1" applyAlignment="1">
      <alignment horizontal="center"/>
    </xf>
    <xf numFmtId="0" fontId="3" fillId="10" borderId="0" xfId="0" applyFont="1" applyFill="1" applyBorder="1" applyAlignment="1">
      <alignment horizontal="center" wrapText="1"/>
    </xf>
    <xf numFmtId="0" fontId="3" fillId="10" borderId="38" xfId="0" applyFont="1" applyFill="1" applyBorder="1" applyAlignment="1">
      <alignment horizontal="center" wrapText="1"/>
    </xf>
    <xf numFmtId="0" fontId="3" fillId="10" borderId="44" xfId="0" applyFont="1" applyFill="1" applyBorder="1" applyAlignment="1">
      <alignment horizontal="center" wrapText="1"/>
    </xf>
    <xf numFmtId="0" fontId="3" fillId="10" borderId="45" xfId="0" applyFont="1" applyFill="1" applyBorder="1" applyAlignment="1">
      <alignment horizontal="center" wrapText="1"/>
    </xf>
    <xf numFmtId="49" fontId="18" fillId="15" borderId="0" xfId="11" applyNumberFormat="1" applyBorder="1" applyAlignment="1">
      <alignment horizontal="center"/>
    </xf>
    <xf numFmtId="49" fontId="18" fillId="15" borderId="0" xfId="11" applyNumberFormat="1" applyBorder="1" applyAlignment="1">
      <alignment horizontal="center" vertical="center"/>
    </xf>
    <xf numFmtId="0" fontId="19" fillId="12" borderId="24" xfId="7" applyAlignment="1">
      <alignment horizontal="center" vertical="center"/>
    </xf>
    <xf numFmtId="0" fontId="0" fillId="3" borderId="0" xfId="0" applyFill="1" applyBorder="1" applyAlignment="1">
      <alignment horizontal="center"/>
    </xf>
    <xf numFmtId="0" fontId="19" fillId="3" borderId="27" xfId="9" applyFont="1" applyFill="1" applyBorder="1" applyAlignment="1">
      <alignment horizontal="center" vertical="center"/>
    </xf>
    <xf numFmtId="0" fontId="19" fillId="3" borderId="80" xfId="9" applyFont="1" applyFill="1" applyBorder="1" applyAlignment="1">
      <alignment horizontal="center" vertical="center"/>
    </xf>
    <xf numFmtId="0" fontId="0" fillId="3" borderId="27" xfId="9" applyFont="1" applyFill="1" applyBorder="1" applyAlignment="1">
      <alignment horizontal="center" vertical="center"/>
    </xf>
    <xf numFmtId="0" fontId="0" fillId="3" borderId="80" xfId="9" applyFont="1" applyFill="1" applyBorder="1" applyAlignment="1">
      <alignment horizontal="center" vertical="center"/>
    </xf>
    <xf numFmtId="0" fontId="3" fillId="10" borderId="39" xfId="0" applyFont="1" applyFill="1" applyBorder="1" applyAlignment="1">
      <alignment horizontal="center" vertical="center" wrapText="1"/>
    </xf>
    <xf numFmtId="0" fontId="3" fillId="10" borderId="40" xfId="0" applyFont="1" applyFill="1" applyBorder="1" applyAlignment="1">
      <alignment horizontal="center" vertical="center" wrapText="1"/>
    </xf>
    <xf numFmtId="0" fontId="3" fillId="10" borderId="41" xfId="0" applyFont="1" applyFill="1" applyBorder="1" applyAlignment="1">
      <alignment horizontal="center" vertical="center" wrapText="1"/>
    </xf>
    <xf numFmtId="0" fontId="3" fillId="10" borderId="42" xfId="0" applyFont="1" applyFill="1" applyBorder="1" applyAlignment="1">
      <alignment horizontal="center" vertical="center" wrapText="1"/>
    </xf>
    <xf numFmtId="0" fontId="3" fillId="10" borderId="0" xfId="0" applyFont="1" applyFill="1" applyBorder="1" applyAlignment="1">
      <alignment horizontal="center" vertical="center" wrapText="1"/>
    </xf>
    <xf numFmtId="0" fontId="3" fillId="10" borderId="38" xfId="0" applyFont="1" applyFill="1" applyBorder="1" applyAlignment="1">
      <alignment horizontal="center" vertical="center" wrapText="1"/>
    </xf>
    <xf numFmtId="0" fontId="3" fillId="10" borderId="43" xfId="0" applyFont="1" applyFill="1" applyBorder="1" applyAlignment="1">
      <alignment horizontal="center" vertical="center" wrapText="1"/>
    </xf>
    <xf numFmtId="0" fontId="3" fillId="10" borderId="44" xfId="0" applyFont="1" applyFill="1" applyBorder="1" applyAlignment="1">
      <alignment horizontal="center" vertical="center" wrapText="1"/>
    </xf>
    <xf numFmtId="0" fontId="3" fillId="10" borderId="45" xfId="0" applyFont="1" applyFill="1" applyBorder="1" applyAlignment="1">
      <alignment horizontal="center" vertical="center" wrapText="1"/>
    </xf>
    <xf numFmtId="0" fontId="3" fillId="10" borderId="49" xfId="0" applyFont="1" applyFill="1" applyBorder="1" applyAlignment="1">
      <alignment horizontal="center"/>
    </xf>
    <xf numFmtId="0" fontId="3" fillId="10" borderId="50" xfId="0" applyFont="1" applyFill="1" applyBorder="1" applyAlignment="1">
      <alignment horizontal="center"/>
    </xf>
    <xf numFmtId="0" fontId="3" fillId="10" borderId="51" xfId="0" applyFont="1" applyFill="1" applyBorder="1" applyAlignment="1">
      <alignment horizontal="center"/>
    </xf>
    <xf numFmtId="0" fontId="21" fillId="14" borderId="72" xfId="10" applyFont="1" applyBorder="1" applyAlignment="1">
      <alignment horizontal="center" vertical="center"/>
    </xf>
    <xf numFmtId="0" fontId="21" fillId="14" borderId="73" xfId="10" applyFont="1" applyBorder="1" applyAlignment="1">
      <alignment horizontal="center" vertical="center"/>
    </xf>
    <xf numFmtId="0" fontId="21" fillId="14" borderId="74" xfId="10" applyFont="1" applyBorder="1" applyAlignment="1">
      <alignment horizontal="center" vertical="center"/>
    </xf>
    <xf numFmtId="0" fontId="21" fillId="14" borderId="75" xfId="10" applyFont="1" applyBorder="1" applyAlignment="1">
      <alignment horizontal="center" vertical="center"/>
    </xf>
    <xf numFmtId="165" fontId="0" fillId="6" borderId="78" xfId="0" applyNumberFormat="1" applyFill="1" applyBorder="1" applyAlignment="1">
      <alignment horizontal="center" vertical="center"/>
    </xf>
    <xf numFmtId="165" fontId="0" fillId="6" borderId="77" xfId="0" applyNumberFormat="1" applyFill="1" applyBorder="1" applyAlignment="1">
      <alignment horizontal="center" vertical="center"/>
    </xf>
    <xf numFmtId="2" fontId="0" fillId="0" borderId="0" xfId="0" applyNumberFormat="1" applyFill="1" applyBorder="1" applyAlignment="1">
      <alignment horizontal="center" vertical="center"/>
    </xf>
    <xf numFmtId="2" fontId="0" fillId="6" borderId="76" xfId="0" applyNumberFormat="1" applyFill="1" applyBorder="1" applyAlignment="1">
      <alignment horizontal="center" vertical="center"/>
    </xf>
    <xf numFmtId="2" fontId="0" fillId="6" borderId="79" xfId="0" applyNumberFormat="1" applyFill="1" applyBorder="1" applyAlignment="1">
      <alignment horizontal="center" vertical="center"/>
    </xf>
    <xf numFmtId="0" fontId="3" fillId="8" borderId="32" xfId="0" applyFont="1" applyFill="1" applyBorder="1" applyAlignment="1">
      <alignment horizontal="center"/>
    </xf>
    <xf numFmtId="0" fontId="3" fillId="8" borderId="33" xfId="0" applyFont="1" applyFill="1" applyBorder="1" applyAlignment="1">
      <alignment horizontal="center"/>
    </xf>
    <xf numFmtId="0" fontId="3" fillId="8" borderId="34" xfId="0" applyFont="1" applyFill="1" applyBorder="1" applyAlignment="1">
      <alignment horizont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5" xfId="0" applyFont="1" applyFill="1" applyBorder="1" applyAlignment="1">
      <alignment horizontal="center"/>
    </xf>
    <xf numFmtId="0" fontId="3" fillId="5" borderId="14" xfId="0" applyFont="1" applyFill="1" applyBorder="1" applyAlignment="1">
      <alignment horizontal="center"/>
    </xf>
    <xf numFmtId="0" fontId="3" fillId="5" borderId="6" xfId="0" applyFont="1"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0" fillId="2" borderId="14" xfId="0" applyFill="1" applyBorder="1" applyAlignment="1">
      <alignment horizontal="center"/>
    </xf>
    <xf numFmtId="0" fontId="5" fillId="6" borderId="8" xfId="0" applyFont="1" applyFill="1" applyBorder="1" applyAlignment="1">
      <alignment horizontal="center" vertical="center"/>
    </xf>
    <xf numFmtId="0" fontId="5" fillId="6" borderId="9" xfId="0" applyFont="1" applyFill="1" applyBorder="1" applyAlignment="1">
      <alignment horizontal="center" vertical="center"/>
    </xf>
    <xf numFmtId="0" fontId="5" fillId="6" borderId="2" xfId="0" applyFont="1" applyFill="1" applyBorder="1" applyAlignment="1">
      <alignment horizontal="center" vertical="center"/>
    </xf>
    <xf numFmtId="0" fontId="5" fillId="6" borderId="12" xfId="0" applyFont="1" applyFill="1" applyBorder="1" applyAlignment="1">
      <alignment horizontal="center" vertical="center"/>
    </xf>
    <xf numFmtId="0" fontId="5" fillId="6" borderId="3" xfId="0" applyFont="1" applyFill="1" applyBorder="1" applyAlignment="1">
      <alignment horizontal="center" vertical="center"/>
    </xf>
    <xf numFmtId="0" fontId="21" fillId="19" borderId="4" xfId="0" applyFont="1" applyFill="1" applyBorder="1" applyAlignment="1">
      <alignment horizontal="center" vertical="center"/>
    </xf>
    <xf numFmtId="0" fontId="22" fillId="19" borderId="4" xfId="0" applyFont="1" applyFill="1" applyBorder="1" applyAlignment="1">
      <alignment horizontal="center" vertical="center"/>
    </xf>
    <xf numFmtId="0" fontId="0" fillId="0" borderId="10" xfId="0" applyBorder="1" applyAlignment="1">
      <alignment horizontal="center" vertical="center"/>
    </xf>
    <xf numFmtId="0" fontId="0" fillId="0" borderId="0" xfId="0" applyAlignment="1">
      <alignment horizontal="center" vertical="center"/>
    </xf>
    <xf numFmtId="0" fontId="0" fillId="3" borderId="0" xfId="0" applyFill="1" applyAlignment="1">
      <alignment horizontal="center"/>
    </xf>
    <xf numFmtId="0" fontId="0" fillId="3" borderId="56" xfId="0" applyFill="1" applyBorder="1" applyAlignment="1">
      <alignment horizontal="center"/>
    </xf>
    <xf numFmtId="0" fontId="0" fillId="3" borderId="35" xfId="0" applyFill="1" applyBorder="1" applyAlignment="1">
      <alignment horizontal="center"/>
    </xf>
    <xf numFmtId="0" fontId="0" fillId="3" borderId="27" xfId="0" applyFill="1" applyBorder="1" applyAlignment="1">
      <alignment horizontal="center"/>
    </xf>
    <xf numFmtId="0" fontId="0" fillId="6" borderId="115" xfId="0" applyFill="1" applyBorder="1" applyAlignment="1">
      <alignment horizontal="center" vertical="center" readingOrder="1"/>
    </xf>
    <xf numFmtId="0" fontId="0" fillId="6" borderId="116" xfId="0" applyFill="1" applyBorder="1" applyAlignment="1">
      <alignment horizontal="center" vertical="center" readingOrder="1"/>
    </xf>
    <xf numFmtId="0" fontId="0" fillId="6" borderId="117" xfId="0" applyFill="1" applyBorder="1" applyAlignment="1">
      <alignment horizontal="center" vertical="center" readingOrder="1"/>
    </xf>
    <xf numFmtId="0" fontId="0" fillId="6" borderId="119" xfId="0" applyFill="1" applyBorder="1" applyAlignment="1">
      <alignment horizontal="center" vertical="center" readingOrder="1"/>
    </xf>
    <xf numFmtId="0" fontId="0" fillId="6" borderId="120" xfId="0" applyFill="1" applyBorder="1" applyAlignment="1">
      <alignment horizontal="center" vertical="center" readingOrder="1"/>
    </xf>
    <xf numFmtId="0" fontId="0" fillId="6" borderId="121" xfId="0" applyFill="1" applyBorder="1" applyAlignment="1">
      <alignment horizontal="center" vertical="center" readingOrder="1"/>
    </xf>
    <xf numFmtId="2" fontId="0" fillId="3" borderId="33" xfId="0" applyNumberFormat="1" applyFill="1" applyBorder="1" applyAlignment="1">
      <alignment horizontal="center"/>
    </xf>
    <xf numFmtId="2" fontId="0" fillId="3" borderId="34" xfId="0" applyNumberFormat="1" applyFill="1" applyBorder="1" applyAlignment="1">
      <alignment horizontal="center"/>
    </xf>
    <xf numFmtId="0" fontId="30" fillId="3" borderId="36" xfId="0" applyFont="1" applyFill="1" applyBorder="1" applyAlignment="1">
      <alignment horizontal="center"/>
    </xf>
    <xf numFmtId="0" fontId="30" fillId="3" borderId="134" xfId="0" applyFont="1" applyFill="1" applyBorder="1" applyAlignment="1">
      <alignment horizontal="center"/>
    </xf>
    <xf numFmtId="0" fontId="19" fillId="12" borderId="24" xfId="7" applyAlignment="1">
      <alignment horizontal="center"/>
    </xf>
    <xf numFmtId="0" fontId="0" fillId="3" borderId="32" xfId="0" applyFill="1" applyBorder="1" applyAlignment="1">
      <alignment horizontal="center" vertical="center"/>
    </xf>
    <xf numFmtId="0" fontId="0" fillId="3" borderId="34" xfId="0" applyFill="1" applyBorder="1" applyAlignment="1">
      <alignment horizontal="center" vertical="center"/>
    </xf>
    <xf numFmtId="0" fontId="0" fillId="3" borderId="36" xfId="0" applyFill="1" applyBorder="1" applyAlignment="1">
      <alignment horizontal="center" vertical="center"/>
    </xf>
    <xf numFmtId="0" fontId="0" fillId="3" borderId="37" xfId="0" applyFill="1" applyBorder="1" applyAlignment="1">
      <alignment horizontal="center" vertical="center"/>
    </xf>
    <xf numFmtId="0" fontId="0" fillId="3" borderId="36" xfId="0" applyFill="1" applyBorder="1" applyAlignment="1">
      <alignment horizontal="center"/>
    </xf>
    <xf numFmtId="0" fontId="0" fillId="3" borderId="37" xfId="0" applyFill="1" applyBorder="1" applyAlignment="1">
      <alignment horizontal="center"/>
    </xf>
    <xf numFmtId="0" fontId="19" fillId="2" borderId="115" xfId="7" applyFill="1" applyBorder="1" applyAlignment="1">
      <alignment horizontal="center" vertical="center"/>
    </xf>
    <xf numFmtId="0" fontId="19" fillId="2" borderId="117" xfId="7" applyFill="1" applyBorder="1" applyAlignment="1">
      <alignment horizontal="center" vertical="center"/>
    </xf>
    <xf numFmtId="0" fontId="19" fillId="2" borderId="119" xfId="7" applyFill="1" applyBorder="1" applyAlignment="1">
      <alignment horizontal="center" vertical="center"/>
    </xf>
    <xf numFmtId="0" fontId="19" fillId="2" borderId="121" xfId="7" applyFill="1" applyBorder="1" applyAlignment="1">
      <alignment horizontal="center" vertical="center"/>
    </xf>
    <xf numFmtId="0" fontId="22" fillId="14" borderId="18" xfId="10" applyBorder="1" applyAlignment="1">
      <alignment horizontal="center" vertical="center"/>
    </xf>
    <xf numFmtId="0" fontId="31" fillId="2" borderId="16" xfId="8" applyFont="1" applyFill="1" applyAlignment="1">
      <alignment horizontal="center" vertical="center"/>
    </xf>
    <xf numFmtId="0" fontId="21" fillId="20" borderId="95" xfId="0" applyFont="1" applyFill="1" applyBorder="1" applyAlignment="1">
      <alignment horizontal="center" vertical="center"/>
    </xf>
    <xf numFmtId="0" fontId="21" fillId="20" borderId="112" xfId="0" applyFont="1" applyFill="1" applyBorder="1" applyAlignment="1">
      <alignment horizontal="center" vertical="center"/>
    </xf>
    <xf numFmtId="0" fontId="21" fillId="20" borderId="98" xfId="0" applyFont="1" applyFill="1" applyBorder="1" applyAlignment="1">
      <alignment horizontal="center" vertical="center"/>
    </xf>
    <xf numFmtId="0" fontId="21" fillId="20" borderId="113" xfId="0" applyFont="1" applyFill="1" applyBorder="1" applyAlignment="1">
      <alignment horizontal="center" vertical="center"/>
    </xf>
    <xf numFmtId="0" fontId="20" fillId="12" borderId="136" xfId="8" applyBorder="1" applyAlignment="1">
      <alignment horizontal="center" vertical="center"/>
    </xf>
    <xf numFmtId="0" fontId="20" fillId="12" borderId="138" xfId="8" applyBorder="1" applyAlignment="1">
      <alignment horizontal="center" vertical="center"/>
    </xf>
    <xf numFmtId="0" fontId="0" fillId="8" borderId="68" xfId="0" applyFill="1" applyBorder="1" applyAlignment="1">
      <alignment horizontal="center" vertical="center"/>
    </xf>
    <xf numFmtId="0" fontId="0" fillId="8" borderId="69" xfId="0" applyFill="1" applyBorder="1" applyAlignment="1">
      <alignment horizontal="center" vertical="center"/>
    </xf>
    <xf numFmtId="0" fontId="28" fillId="2" borderId="0" xfId="0" applyFont="1" applyFill="1" applyBorder="1" applyAlignment="1">
      <alignment horizontal="center" vertical="center"/>
    </xf>
    <xf numFmtId="0" fontId="28" fillId="2" borderId="111" xfId="0" applyFont="1" applyFill="1" applyBorder="1" applyAlignment="1">
      <alignment horizontal="center" vertical="center"/>
    </xf>
    <xf numFmtId="0" fontId="16" fillId="2" borderId="0" xfId="4" applyFill="1" applyBorder="1" applyAlignment="1">
      <alignment horizontal="center" vertical="center"/>
    </xf>
    <xf numFmtId="0" fontId="16" fillId="2" borderId="18" xfId="4" applyFill="1" applyBorder="1" applyAlignment="1">
      <alignment horizontal="center" vertical="center"/>
    </xf>
    <xf numFmtId="0" fontId="17" fillId="8" borderId="0" xfId="13" applyFill="1" applyBorder="1" applyAlignment="1">
      <alignment horizontal="center" vertical="center"/>
    </xf>
    <xf numFmtId="0" fontId="17" fillId="8" borderId="56" xfId="13" applyFill="1" applyBorder="1" applyAlignment="1">
      <alignment horizontal="center" vertical="center"/>
    </xf>
    <xf numFmtId="0" fontId="28" fillId="2" borderId="0" xfId="0" applyFont="1" applyFill="1" applyBorder="1" applyAlignment="1">
      <alignment horizontal="center"/>
    </xf>
    <xf numFmtId="0" fontId="28" fillId="2" borderId="111" xfId="0" applyFont="1" applyFill="1" applyBorder="1" applyAlignment="1">
      <alignment horizontal="center"/>
    </xf>
    <xf numFmtId="0" fontId="0" fillId="8" borderId="69" xfId="0" applyFill="1" applyBorder="1" applyAlignment="1">
      <alignment horizontal="center" vertical="center" wrapText="1"/>
    </xf>
    <xf numFmtId="2" fontId="19" fillId="2" borderId="114" xfId="7" applyNumberFormat="1" applyFill="1" applyBorder="1" applyAlignment="1">
      <alignment horizontal="center" vertical="center"/>
    </xf>
    <xf numFmtId="2" fontId="19" fillId="2" borderId="118" xfId="7" applyNumberFormat="1" applyFill="1" applyBorder="1" applyAlignment="1">
      <alignment horizontal="center" vertical="center"/>
    </xf>
    <xf numFmtId="0" fontId="0" fillId="22" borderId="114" xfId="0" applyFill="1" applyBorder="1" applyAlignment="1">
      <alignment horizontal="center" vertical="center"/>
    </xf>
    <xf numFmtId="0" fontId="0" fillId="22" borderId="118" xfId="0" applyFill="1" applyBorder="1" applyAlignment="1">
      <alignment horizontal="center" vertical="center"/>
    </xf>
    <xf numFmtId="0" fontId="0" fillId="10" borderId="42" xfId="0" applyFill="1" applyBorder="1" applyAlignment="1">
      <alignment horizontal="center"/>
    </xf>
    <xf numFmtId="0" fontId="0" fillId="10" borderId="0" xfId="0" applyFill="1" applyBorder="1" applyAlignment="1">
      <alignment horizontal="center"/>
    </xf>
    <xf numFmtId="0" fontId="0" fillId="10" borderId="38" xfId="0" applyFill="1" applyBorder="1" applyAlignment="1">
      <alignment horizontal="center"/>
    </xf>
    <xf numFmtId="0" fontId="0" fillId="10" borderId="43" xfId="0" applyFill="1" applyBorder="1" applyAlignment="1">
      <alignment horizontal="center"/>
    </xf>
    <xf numFmtId="0" fontId="0" fillId="10" borderId="44" xfId="0" applyFill="1" applyBorder="1" applyAlignment="1">
      <alignment horizontal="center"/>
    </xf>
    <xf numFmtId="0" fontId="0" fillId="10" borderId="45" xfId="0" applyFill="1" applyBorder="1" applyAlignment="1">
      <alignment horizontal="center"/>
    </xf>
    <xf numFmtId="0" fontId="0" fillId="10" borderId="43" xfId="0" applyFill="1" applyBorder="1" applyAlignment="1">
      <alignment horizontal="center" vertical="center"/>
    </xf>
    <xf numFmtId="0" fontId="0" fillId="10" borderId="45" xfId="0" applyFill="1" applyBorder="1" applyAlignment="1">
      <alignment horizontal="center" vertical="center"/>
    </xf>
    <xf numFmtId="0" fontId="16" fillId="2" borderId="18" xfId="4" applyFill="1" applyAlignment="1">
      <alignment horizontal="center" vertical="center" wrapText="1"/>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38" xfId="0" applyFill="1" applyBorder="1" applyAlignment="1">
      <alignment horizontal="center" vertical="center"/>
    </xf>
    <xf numFmtId="0" fontId="0" fillId="10" borderId="44" xfId="0" applyFill="1" applyBorder="1" applyAlignment="1">
      <alignment horizontal="center" vertical="center"/>
    </xf>
    <xf numFmtId="0" fontId="0" fillId="8" borderId="124" xfId="0" applyFill="1" applyBorder="1" applyAlignment="1">
      <alignment horizontal="center" vertical="center" readingOrder="1"/>
    </xf>
    <xf numFmtId="0" fontId="0" fillId="8" borderId="125" xfId="0" applyFill="1" applyBorder="1" applyAlignment="1">
      <alignment horizontal="center" vertical="center" readingOrder="1"/>
    </xf>
    <xf numFmtId="0" fontId="0" fillId="8" borderId="126" xfId="0" applyFill="1" applyBorder="1" applyAlignment="1">
      <alignment horizontal="center" vertical="center" readingOrder="1"/>
    </xf>
    <xf numFmtId="0" fontId="0" fillId="8" borderId="128" xfId="0" applyFill="1" applyBorder="1" applyAlignment="1">
      <alignment horizontal="center" vertical="center" readingOrder="1"/>
    </xf>
    <xf numFmtId="0" fontId="0" fillId="8" borderId="129" xfId="0" applyFill="1" applyBorder="1" applyAlignment="1">
      <alignment horizontal="center" vertical="center" readingOrder="1"/>
    </xf>
    <xf numFmtId="0" fontId="0" fillId="8" borderId="130" xfId="0" applyFill="1" applyBorder="1" applyAlignment="1">
      <alignment horizontal="center" vertical="center" readingOrder="1"/>
    </xf>
    <xf numFmtId="2" fontId="3" fillId="0" borderId="0" xfId="0" applyNumberFormat="1" applyFont="1" applyBorder="1" applyAlignment="1">
      <alignment horizontal="center" vertical="center"/>
    </xf>
    <xf numFmtId="2" fontId="3" fillId="2" borderId="59" xfId="0" applyNumberFormat="1" applyFont="1" applyFill="1" applyBorder="1" applyAlignment="1">
      <alignment horizontal="center" vertical="center"/>
    </xf>
    <xf numFmtId="2" fontId="3" fillId="2" borderId="60" xfId="0" applyNumberFormat="1" applyFont="1" applyFill="1" applyBorder="1" applyAlignment="1">
      <alignment horizontal="center" vertical="center"/>
    </xf>
    <xf numFmtId="0" fontId="0" fillId="6" borderId="59" xfId="0" applyFill="1" applyBorder="1" applyAlignment="1">
      <alignment horizontal="center" vertical="center"/>
    </xf>
    <xf numFmtId="0" fontId="0" fillId="6" borderId="60" xfId="0" applyFill="1" applyBorder="1" applyAlignment="1">
      <alignment horizontal="center" vertical="center"/>
    </xf>
    <xf numFmtId="2" fontId="0" fillId="6" borderId="59" xfId="0" applyNumberFormat="1" applyFill="1" applyBorder="1" applyAlignment="1">
      <alignment horizontal="center" vertical="center"/>
    </xf>
    <xf numFmtId="2" fontId="0" fillId="6" borderId="60" xfId="0" applyNumberFormat="1" applyFill="1" applyBorder="1" applyAlignment="1">
      <alignment horizontal="center" vertical="center"/>
    </xf>
    <xf numFmtId="0" fontId="0" fillId="8" borderId="70" xfId="0" applyFill="1" applyBorder="1" applyAlignment="1">
      <alignment horizontal="center" vertical="center"/>
    </xf>
    <xf numFmtId="2" fontId="0" fillId="8" borderId="65" xfId="0" applyNumberFormat="1" applyFill="1" applyBorder="1" applyAlignment="1">
      <alignment horizontal="center" vertical="center"/>
    </xf>
    <xf numFmtId="2" fontId="0" fillId="8" borderId="67" xfId="0" applyNumberFormat="1" applyFill="1" applyBorder="1" applyAlignment="1">
      <alignment horizontal="center" vertical="center"/>
    </xf>
    <xf numFmtId="0" fontId="22" fillId="14" borderId="58" xfId="10" applyBorder="1" applyAlignment="1">
      <alignment horizontal="center" vertical="center"/>
    </xf>
    <xf numFmtId="0" fontId="22" fillId="14" borderId="87" xfId="10" applyBorder="1" applyAlignment="1">
      <alignment horizontal="center" vertical="center"/>
    </xf>
    <xf numFmtId="0" fontId="22" fillId="14" borderId="88" xfId="10" applyBorder="1" applyAlignment="1">
      <alignment horizontal="center" vertical="center"/>
    </xf>
    <xf numFmtId="0" fontId="0" fillId="0" borderId="146" xfId="0" applyBorder="1" applyAlignment="1">
      <alignment horizontal="center" vertical="center"/>
    </xf>
    <xf numFmtId="0" fontId="0" fillId="0" borderId="100" xfId="0" applyBorder="1" applyAlignment="1">
      <alignment horizontal="center" vertical="center"/>
    </xf>
    <xf numFmtId="0" fontId="3" fillId="0" borderId="87" xfId="0" applyNumberFormat="1" applyFont="1" applyBorder="1" applyAlignment="1">
      <alignment horizontal="center" vertical="center"/>
    </xf>
    <xf numFmtId="0" fontId="3" fillId="0" borderId="88" xfId="0" applyNumberFormat="1" applyFont="1" applyBorder="1" applyAlignment="1">
      <alignment horizontal="center" vertical="center"/>
    </xf>
    <xf numFmtId="0" fontId="0" fillId="8" borderId="82" xfId="0" applyFill="1" applyBorder="1" applyAlignment="1">
      <alignment horizontal="center"/>
    </xf>
    <xf numFmtId="0" fontId="0" fillId="0" borderId="84" xfId="0" applyBorder="1"/>
    <xf numFmtId="0" fontId="0" fillId="0" borderId="83" xfId="0" applyBorder="1"/>
    <xf numFmtId="0" fontId="3" fillId="4" borderId="9" xfId="0" applyFont="1" applyFill="1" applyBorder="1" applyAlignment="1">
      <alignment horizontal="center" vertical="top"/>
    </xf>
    <xf numFmtId="0" fontId="9" fillId="0" borderId="15" xfId="1" applyAlignment="1">
      <alignment horizontal="center" vertical="center"/>
    </xf>
    <xf numFmtId="0" fontId="9" fillId="2" borderId="0" xfId="1" applyFill="1" applyBorder="1" applyAlignment="1">
      <alignment horizontal="center" vertical="center"/>
    </xf>
    <xf numFmtId="0" fontId="0" fillId="3" borderId="90" xfId="0" applyFill="1" applyBorder="1" applyAlignment="1">
      <alignment horizontal="center" vertical="center"/>
    </xf>
    <xf numFmtId="0" fontId="0" fillId="3" borderId="89" xfId="0" applyFill="1" applyBorder="1" applyAlignment="1">
      <alignment horizontal="center" vertical="center"/>
    </xf>
    <xf numFmtId="0" fontId="0" fillId="3" borderId="0" xfId="0" applyFill="1" applyBorder="1" applyAlignment="1">
      <alignment horizontal="center" vertical="center"/>
    </xf>
    <xf numFmtId="0" fontId="0" fillId="8" borderId="83" xfId="0" applyFill="1" applyBorder="1" applyAlignment="1">
      <alignment horizontal="center"/>
    </xf>
    <xf numFmtId="0" fontId="0" fillId="8" borderId="66" xfId="0" applyFill="1" applyBorder="1" applyAlignment="1">
      <alignment horizontal="center" vertical="center"/>
    </xf>
    <xf numFmtId="166" fontId="8" fillId="0" borderId="0" xfId="0" applyNumberFormat="1" applyFont="1" applyBorder="1" applyAlignment="1">
      <alignment horizontal="center" vertical="center"/>
    </xf>
    <xf numFmtId="0" fontId="22" fillId="17" borderId="0" xfId="12"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8" fillId="0" borderId="38" xfId="0" applyFont="1" applyBorder="1" applyAlignment="1">
      <alignment horizontal="center" vertical="center"/>
    </xf>
    <xf numFmtId="0" fontId="22" fillId="14" borderId="102" xfId="10" applyBorder="1" applyAlignment="1">
      <alignment horizontal="center" vertical="center"/>
    </xf>
    <xf numFmtId="0" fontId="22" fillId="14" borderId="103" xfId="10" applyBorder="1" applyAlignment="1">
      <alignment horizontal="center" vertical="center"/>
    </xf>
    <xf numFmtId="0" fontId="22" fillId="14" borderId="101" xfId="10" applyBorder="1" applyAlignment="1">
      <alignment horizontal="center" vertical="center"/>
    </xf>
    <xf numFmtId="0" fontId="22" fillId="14" borderId="99" xfId="10" applyBorder="1" applyAlignment="1">
      <alignment horizontal="center" vertical="center"/>
    </xf>
    <xf numFmtId="0" fontId="9" fillId="2" borderId="92" xfId="1" applyFill="1" applyBorder="1" applyAlignment="1">
      <alignment horizontal="center" vertical="center"/>
    </xf>
    <xf numFmtId="0" fontId="9" fillId="2" borderId="91" xfId="1" applyFill="1" applyBorder="1" applyAlignment="1">
      <alignment horizontal="center" vertical="center"/>
    </xf>
    <xf numFmtId="0" fontId="9" fillId="2" borderId="93" xfId="1" applyFill="1" applyBorder="1" applyAlignment="1">
      <alignment horizontal="center" vertical="center"/>
    </xf>
    <xf numFmtId="0" fontId="3" fillId="0" borderId="0" xfId="0" applyFont="1" applyFill="1" applyBorder="1" applyAlignment="1">
      <alignment horizontal="center" vertical="center"/>
    </xf>
    <xf numFmtId="0" fontId="0" fillId="10" borderId="48" xfId="0" applyFill="1" applyBorder="1" applyAlignment="1">
      <alignment horizontal="center" vertical="center"/>
    </xf>
    <xf numFmtId="0" fontId="0" fillId="8" borderId="96" xfId="0" applyFill="1" applyBorder="1" applyAlignment="1">
      <alignment horizontal="center"/>
    </xf>
    <xf numFmtId="0" fontId="0" fillId="8" borderId="65" xfId="0" applyFill="1" applyBorder="1" applyAlignment="1">
      <alignment horizontal="center"/>
    </xf>
    <xf numFmtId="0" fontId="0" fillId="8" borderId="98" xfId="0" applyFill="1" applyBorder="1" applyAlignment="1">
      <alignment horizontal="center"/>
    </xf>
    <xf numFmtId="0" fontId="0" fillId="8" borderId="85" xfId="0" applyFill="1" applyBorder="1" applyAlignment="1">
      <alignment horizontal="center"/>
    </xf>
    <xf numFmtId="0" fontId="0" fillId="8" borderId="67" xfId="0" applyFill="1" applyBorder="1" applyAlignment="1">
      <alignment horizontal="center"/>
    </xf>
    <xf numFmtId="0" fontId="0" fillId="11" borderId="105" xfId="0" applyFill="1" applyBorder="1" applyAlignment="1">
      <alignment horizontal="center" vertical="center"/>
    </xf>
    <xf numFmtId="0" fontId="0" fillId="11" borderId="106" xfId="0" applyFill="1" applyBorder="1" applyAlignment="1">
      <alignment horizontal="center" vertical="center"/>
    </xf>
    <xf numFmtId="0" fontId="16" fillId="0" borderId="0" xfId="4" applyBorder="1" applyAlignment="1">
      <alignment horizontal="center" vertical="center"/>
    </xf>
    <xf numFmtId="0" fontId="16" fillId="0" borderId="18" xfId="4" applyBorder="1" applyAlignment="1">
      <alignment horizontal="center" vertical="center"/>
    </xf>
    <xf numFmtId="0" fontId="22" fillId="14" borderId="102" xfId="10" applyBorder="1" applyAlignment="1">
      <alignment horizontal="center" vertical="center" wrapText="1"/>
    </xf>
    <xf numFmtId="0" fontId="0" fillId="0" borderId="103" xfId="0" applyBorder="1" applyAlignment="1">
      <alignment wrapText="1"/>
    </xf>
    <xf numFmtId="0" fontId="0" fillId="0" borderId="0" xfId="0" applyAlignment="1">
      <alignment wrapText="1"/>
    </xf>
    <xf numFmtId="0" fontId="0" fillId="0" borderId="99" xfId="0" applyBorder="1" applyAlignment="1">
      <alignment wrapText="1"/>
    </xf>
    <xf numFmtId="0" fontId="22" fillId="18" borderId="0" xfId="14" applyBorder="1" applyAlignment="1">
      <alignment horizontal="center" vertical="center"/>
    </xf>
    <xf numFmtId="0" fontId="22" fillId="14" borderId="103" xfId="10" applyBorder="1" applyAlignment="1">
      <alignment horizontal="center" vertical="center" wrapText="1"/>
    </xf>
    <xf numFmtId="0" fontId="22" fillId="14" borderId="0" xfId="10" applyBorder="1" applyAlignment="1">
      <alignment horizontal="center" vertical="center" wrapText="1"/>
    </xf>
    <xf numFmtId="0" fontId="22" fillId="14" borderId="99" xfId="10" applyBorder="1" applyAlignment="1">
      <alignment horizontal="center" vertical="center" wrapText="1"/>
    </xf>
    <xf numFmtId="0" fontId="0" fillId="10" borderId="46" xfId="0" applyFill="1" applyBorder="1" applyAlignment="1">
      <alignment horizontal="center"/>
    </xf>
    <xf numFmtId="0" fontId="0" fillId="0" borderId="48" xfId="0" applyBorder="1"/>
    <xf numFmtId="0" fontId="5" fillId="6" borderId="10" xfId="0" applyFont="1" applyFill="1" applyBorder="1" applyAlignment="1">
      <alignment horizontal="center" vertical="center"/>
    </xf>
    <xf numFmtId="0" fontId="5" fillId="6" borderId="11" xfId="0" applyFont="1" applyFill="1" applyBorder="1" applyAlignment="1">
      <alignment horizontal="center" vertical="center"/>
    </xf>
    <xf numFmtId="0" fontId="17" fillId="0" borderId="5" xfId="5" applyFill="1" applyBorder="1" applyAlignment="1">
      <alignment horizontal="center" vertical="center"/>
    </xf>
    <xf numFmtId="0" fontId="17" fillId="0" borderId="14" xfId="5" applyFill="1" applyBorder="1" applyAlignment="1">
      <alignment horizontal="center" vertical="center"/>
    </xf>
    <xf numFmtId="0" fontId="17" fillId="0" borderId="6" xfId="5" applyFill="1" applyBorder="1" applyAlignment="1">
      <alignment horizontal="center" vertical="center"/>
    </xf>
    <xf numFmtId="0" fontId="3" fillId="8" borderId="0" xfId="0" applyFont="1" applyFill="1" applyBorder="1" applyAlignment="1">
      <alignment horizontal="center"/>
    </xf>
    <xf numFmtId="0" fontId="3" fillId="10" borderId="0" xfId="0" applyFont="1" applyFill="1" applyBorder="1" applyAlignment="1">
      <alignment horizontal="center"/>
    </xf>
    <xf numFmtId="0" fontId="0" fillId="10" borderId="145" xfId="0" applyFill="1" applyBorder="1" applyAlignment="1">
      <alignment horizontal="center" vertical="center"/>
    </xf>
    <xf numFmtId="0" fontId="0" fillId="3" borderId="29" xfId="0" applyFill="1" applyBorder="1" applyAlignment="1">
      <alignment horizontal="center" vertical="center"/>
    </xf>
    <xf numFmtId="0" fontId="0" fillId="3" borderId="31" xfId="0" applyFill="1" applyBorder="1" applyAlignment="1">
      <alignment horizontal="center" vertical="center"/>
    </xf>
    <xf numFmtId="0" fontId="16" fillId="0" borderId="0" xfId="4" applyBorder="1" applyAlignment="1">
      <alignment horizontal="center" vertical="center" wrapText="1"/>
    </xf>
    <xf numFmtId="0" fontId="16" fillId="0" borderId="18" xfId="4" applyBorder="1" applyAlignment="1">
      <alignment horizontal="center" vertical="center" wrapText="1"/>
    </xf>
    <xf numFmtId="0" fontId="17" fillId="0" borderId="19" xfId="5" applyAlignment="1">
      <alignment horizontal="center"/>
    </xf>
    <xf numFmtId="0" fontId="32" fillId="0" borderId="0" xfId="0" applyFont="1" applyFill="1" applyBorder="1" applyAlignment="1">
      <alignment horizontal="left" wrapText="1"/>
    </xf>
    <xf numFmtId="0" fontId="32" fillId="0" borderId="0" xfId="0" applyFont="1" applyFill="1" applyBorder="1" applyAlignment="1">
      <alignment horizontal="center" wrapText="1"/>
    </xf>
    <xf numFmtId="0" fontId="32" fillId="0" borderId="0" xfId="0" applyFont="1" applyFill="1" applyBorder="1" applyAlignment="1">
      <alignment horizontal="center" vertical="center"/>
    </xf>
    <xf numFmtId="0" fontId="33" fillId="0" borderId="0" xfId="0" applyFont="1" applyFill="1" applyBorder="1" applyAlignment="1">
      <alignment horizontal="center"/>
    </xf>
    <xf numFmtId="0" fontId="16" fillId="0" borderId="18" xfId="4" applyAlignment="1">
      <alignment horizontal="center" vertical="center" wrapText="1"/>
    </xf>
    <xf numFmtId="0" fontId="0" fillId="0" borderId="0" xfId="0" applyAlignment="1">
      <alignment horizontal="center" wrapText="1"/>
    </xf>
    <xf numFmtId="0" fontId="32" fillId="0" borderId="0" xfId="0" applyFont="1" applyAlignment="1">
      <alignment horizontal="left" vertical="top" wrapText="1"/>
    </xf>
    <xf numFmtId="0" fontId="32" fillId="0" borderId="0" xfId="0" applyFont="1" applyAlignment="1">
      <alignment horizontal="left"/>
    </xf>
    <xf numFmtId="0" fontId="32" fillId="0" borderId="0" xfId="0" applyFont="1" applyBorder="1" applyAlignment="1">
      <alignment horizontal="left"/>
    </xf>
    <xf numFmtId="0" fontId="32" fillId="0" borderId="0" xfId="0" applyFont="1" applyAlignment="1">
      <alignment horizontal="left" wrapText="1"/>
    </xf>
    <xf numFmtId="0" fontId="32" fillId="0" borderId="4" xfId="0" applyFont="1" applyBorder="1" applyAlignment="1">
      <alignment horizontal="center" wrapText="1"/>
    </xf>
    <xf numFmtId="0" fontId="32" fillId="0" borderId="4" xfId="0" applyFont="1" applyBorder="1" applyAlignment="1">
      <alignment horizontal="center" vertical="center" wrapText="1"/>
    </xf>
    <xf numFmtId="0" fontId="32" fillId="0" borderId="13" xfId="0" applyFont="1" applyBorder="1" applyAlignment="1">
      <alignment horizontal="center" wrapText="1"/>
    </xf>
    <xf numFmtId="0" fontId="32" fillId="0" borderId="1" xfId="0" applyFont="1" applyBorder="1" applyAlignment="1">
      <alignment horizontal="center" wrapText="1"/>
    </xf>
    <xf numFmtId="0" fontId="32" fillId="0" borderId="13" xfId="0" applyFont="1" applyBorder="1" applyAlignment="1">
      <alignment horizontal="center" vertical="center" wrapText="1"/>
    </xf>
    <xf numFmtId="0" fontId="32" fillId="0" borderId="1" xfId="0" applyFont="1" applyBorder="1" applyAlignment="1">
      <alignment horizontal="center" vertical="center" wrapText="1"/>
    </xf>
  </cellXfs>
  <cellStyles count="15">
    <cellStyle name="20% - Accent4" xfId="11" builtinId="42"/>
    <cellStyle name="Accent2" xfId="10" builtinId="33"/>
    <cellStyle name="Accent3" xfId="12" builtinId="37"/>
    <cellStyle name="Accent5" xfId="14" builtinId="45"/>
    <cellStyle name="Calculation" xfId="8" builtinId="22"/>
    <cellStyle name="Explanatory Text" xfId="3" builtinId="53"/>
    <cellStyle name="Heading 1" xfId="1" builtinId="16"/>
    <cellStyle name="Heading 2" xfId="4" builtinId="17"/>
    <cellStyle name="Heading 3" xfId="5" builtinId="18"/>
    <cellStyle name="Heading 4" xfId="13" builtinId="19"/>
    <cellStyle name="Input" xfId="2" builtinId="20"/>
    <cellStyle name="Normal" xfId="0" builtinId="0"/>
    <cellStyle name="Note" xfId="9" builtinId="10"/>
    <cellStyle name="Output" xfId="7" builtinId="21"/>
    <cellStyle name="Total" xfId="6" builtinId="25"/>
  </cellStyles>
  <dxfs count="9">
    <dxf>
      <font>
        <condense val="0"/>
        <extend val="0"/>
        <color rgb="FF9C0006"/>
      </font>
      <fill>
        <patternFill>
          <bgColor rgb="FFFFC7CE"/>
        </patternFill>
      </fill>
    </dxf>
    <dxf>
      <fill>
        <patternFill>
          <bgColor rgb="FFFEAEAC"/>
        </patternFill>
      </fill>
    </dxf>
    <dxf>
      <fill>
        <patternFill>
          <bgColor rgb="FFFF0000"/>
        </patternFill>
      </fill>
    </dxf>
    <dxf>
      <font>
        <strike val="0"/>
      </font>
      <fill>
        <patternFill>
          <bgColor rgb="FF00B050"/>
        </patternFill>
      </fill>
    </dxf>
    <dxf>
      <fill>
        <patternFill>
          <bgColor rgb="FF00B050"/>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Light16"/>
  <colors>
    <mruColors>
      <color rgb="FFFEAEAC"/>
      <color rgb="FFE6FACE"/>
      <color rgb="FFFF3300"/>
      <color rgb="FFFFFFCC"/>
      <color rgb="FFE0FAA0"/>
      <color rgb="FFCCFFFF"/>
      <color rgb="FFFFCCCC"/>
      <color rgb="FFCCFF99"/>
      <color rgb="FFFBFB8F"/>
      <color rgb="FFFCD57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activeX1.xml><?xml version="1.0" encoding="utf-8"?>
<ax:ocx xmlns:ax="http://schemas.microsoft.com/office/2006/activeX" xmlns:r="http://schemas.openxmlformats.org/officeDocument/2006/relationships" ax:classid="{8BD21D50-EC42-11CE-9E0D-00AA006002F3}" ax:persistence="persistPropertyBag">
  <ax:ocxPr ax:name="BackColor" ax:value="14737632"/>
  <ax:ocxPr ax:name="DisplayStyle" ax:value="5"/>
  <ax:ocxPr ax:name="Size" ax:value="3704;741"/>
  <ax:ocxPr ax:name="Value" ax:value="1"/>
  <ax:ocxPr ax:name="Caption" ax:value="Surface Moist"/>
  <ax:ocxPr ax:name="GroupName" ax:value="Master"/>
  <ax:ocxPr ax:name="FontName" ax:value="Calibri"/>
  <ax:ocxPr ax:name="FontHeight" ax:value="225"/>
  <ax:ocxPr ax:name="FontCharSet" ax:value="0"/>
  <ax:ocxPr ax:name="FontPitchAndFamily" ax:value="2"/>
</ax:ocx>
</file>

<file path=xl/activeX/activeX2.xml><?xml version="1.0" encoding="utf-8"?>
<ax:ocx xmlns:ax="http://schemas.microsoft.com/office/2006/activeX" xmlns:r="http://schemas.openxmlformats.org/officeDocument/2006/relationships" ax:classid="{8BD21D50-EC42-11CE-9E0D-00AA006002F3}" ax:persistence="persistPropertyBag">
  <ax:ocxPr ax:name="BackColor" ax:value="14737632"/>
  <ax:ocxPr ax:name="DisplayStyle" ax:value="5"/>
  <ax:ocxPr ax:name="Size" ax:value="3810;820"/>
  <ax:ocxPr ax:name="Value" ax:value="0"/>
  <ax:ocxPr ax:name="Caption" ax:value="Dry State "/>
  <ax:ocxPr ax:name="GroupName" ax:value="Master"/>
  <ax:ocxPr ax:name="FontName" ax:value="Calibri"/>
  <ax:ocxPr ax:name="FontHeight" ax:value="225"/>
  <ax:ocxPr ax:name="FontCharSet" ax:value="0"/>
  <ax:ocxPr ax:name="FontPitchAndFamily" ax:value="2"/>
</ax:ocx>
</file>

<file path=xl/activeX/activeX3.xml><?xml version="1.0" encoding="utf-8"?>
<ax:ocx xmlns:ax="http://schemas.microsoft.com/office/2006/activeX" xmlns:r="http://schemas.openxmlformats.org/officeDocument/2006/relationships" ax:classid="{D7053240-CE69-11CD-A777-00DD01143C57}" ax:persistence="persistPropertyBag">
  <ax:ocxPr ax:name="Caption" ax:value="CHECK"/>
  <ax:ocxPr ax:name="Size" ax:value="4921;820"/>
  <ax:ocxPr ax:name="FontName" ax:value="Calibri"/>
  <ax:ocxPr ax:name="FontEffects" ax:value="1073741825"/>
  <ax:ocxPr ax:name="FontHeight" ax:value="225"/>
  <ax:ocxPr ax:name="FontCharSet" ax:value="0"/>
  <ax:ocxPr ax:name="FontPitchAndFamily" ax:value="2"/>
  <ax:ocxPr ax:name="ParagraphAlign" ax:value="3"/>
  <ax:ocxPr ax:name="FontWeight" ax:value="700"/>
</ax:ocx>
</file>

<file path=xl/charts/_rels/chart4.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lang="en-IN" sz="1800" b="1" i="0" u="none" strike="noStrike" kern="1200" baseline="0">
                <a:solidFill>
                  <a:sysClr val="windowText" lastClr="000000"/>
                </a:solidFill>
                <a:latin typeface="+mn-lt"/>
                <a:ea typeface="+mn-ea"/>
                <a:cs typeface="+mn-cs"/>
              </a:defRPr>
            </a:pPr>
            <a:r>
              <a:rPr lang="en-US" sz="1000" b="1" i="0" baseline="0">
                <a:effectLst/>
              </a:rPr>
              <a:t>Relation Between Accelerated and 28 day Compressive Strength of Concrete (Boiling Water Method)</a:t>
            </a:r>
            <a:endParaRPr lang="en-US" sz="1000"/>
          </a:p>
        </c:rich>
      </c:tx>
    </c:title>
    <c:plotArea>
      <c:layout/>
      <c:scatterChart>
        <c:scatterStyle val="smoothMarker"/>
        <c:ser>
          <c:idx val="0"/>
          <c:order val="0"/>
          <c:tx>
            <c:strRef>
              <c:f>'[1]Standard Deviation'!$G$88</c:f>
              <c:strCache>
                <c:ptCount val="1"/>
                <c:pt idx="0">
                  <c:v>28 day </c:v>
                </c:pt>
              </c:strCache>
            </c:strRef>
          </c:tx>
          <c:marker>
            <c:symbol val="none"/>
          </c:marker>
          <c:xVal>
            <c:numRef>
              <c:f>'[1]Standard Deviation'!$F$89:$F$92</c:f>
              <c:numCache>
                <c:formatCode>General</c:formatCode>
                <c:ptCount val="4"/>
                <c:pt idx="0">
                  <c:v>2</c:v>
                </c:pt>
                <c:pt idx="1">
                  <c:v>20</c:v>
                </c:pt>
                <c:pt idx="2">
                  <c:v>30</c:v>
                </c:pt>
                <c:pt idx="3">
                  <c:v>35</c:v>
                </c:pt>
              </c:numCache>
            </c:numRef>
          </c:xVal>
          <c:yVal>
            <c:numRef>
              <c:f>'[1]Standard Deviation'!$G$89:$G$92</c:f>
              <c:numCache>
                <c:formatCode>General</c:formatCode>
                <c:ptCount val="4"/>
                <c:pt idx="0">
                  <c:v>11.37</c:v>
                </c:pt>
                <c:pt idx="1">
                  <c:v>40.89</c:v>
                </c:pt>
                <c:pt idx="2">
                  <c:v>57.289999999999992</c:v>
                </c:pt>
                <c:pt idx="3">
                  <c:v>65.489999999999995</c:v>
                </c:pt>
              </c:numCache>
            </c:numRef>
          </c:yVal>
          <c:smooth val="1"/>
        </c:ser>
        <c:axId val="106098688"/>
        <c:axId val="106100992"/>
      </c:scatterChart>
      <c:valAx>
        <c:axId val="106098688"/>
        <c:scaling>
          <c:orientation val="minMax"/>
          <c:max val="70"/>
          <c:min val="0"/>
        </c:scaling>
        <c:axPos val="b"/>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lang="en-IN" sz="1000" b="1" i="0" u="none" strike="noStrike" kern="1200" baseline="0">
                    <a:solidFill>
                      <a:sysClr val="windowText" lastClr="000000"/>
                    </a:solidFill>
                    <a:latin typeface="+mn-lt"/>
                    <a:ea typeface="+mn-ea"/>
                    <a:cs typeface="+mn-cs"/>
                  </a:defRPr>
                </a:pPr>
                <a:r>
                  <a:rPr lang="en-IN" sz="1000" b="1" i="0" baseline="0">
                    <a:effectLst/>
                  </a:rPr>
                  <a:t>Accelerated Strength(N/mm2)</a:t>
                </a:r>
                <a:endParaRPr lang="en-IN" sz="1000">
                  <a:effectLst/>
                </a:endParaRPr>
              </a:p>
            </c:rich>
          </c:tx>
        </c:title>
        <c:numFmt formatCode="General" sourceLinked="1"/>
        <c:majorTickMark val="none"/>
        <c:tickLblPos val="nextTo"/>
        <c:txPr>
          <a:bodyPr/>
          <a:lstStyle/>
          <a:p>
            <a:pPr>
              <a:defRPr lang="en-IN"/>
            </a:pPr>
            <a:endParaRPr lang="en-US"/>
          </a:p>
        </c:txPr>
        <c:crossAx val="106100992"/>
        <c:crosses val="autoZero"/>
        <c:crossBetween val="midCat"/>
        <c:majorUnit val="10"/>
        <c:minorUnit val="1"/>
      </c:valAx>
      <c:valAx>
        <c:axId val="106100992"/>
        <c:scaling>
          <c:orientation val="minMax"/>
          <c:max val="70"/>
          <c:min val="0"/>
        </c:scaling>
        <c:axPos val="l"/>
        <c:majorGridlines/>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lang="en-IN" sz="1000" b="1" i="0" u="none" strike="noStrike" kern="1200" baseline="0">
                    <a:solidFill>
                      <a:sysClr val="windowText" lastClr="000000"/>
                    </a:solidFill>
                    <a:latin typeface="+mn-lt"/>
                    <a:ea typeface="+mn-ea"/>
                    <a:cs typeface="+mn-cs"/>
                  </a:defRPr>
                </a:pPr>
                <a:r>
                  <a:rPr lang="en-IN" sz="1000" b="1" i="0" baseline="0">
                    <a:effectLst/>
                  </a:rPr>
                  <a:t>28-Day Compressive Strength (N/mm2)</a:t>
                </a:r>
                <a:endParaRPr lang="en-IN" sz="1000">
                  <a:effectLst/>
                </a:endParaRPr>
              </a:p>
            </c:rich>
          </c:tx>
        </c:title>
        <c:numFmt formatCode="General" sourceLinked="1"/>
        <c:majorTickMark val="none"/>
        <c:tickLblPos val="nextTo"/>
        <c:txPr>
          <a:bodyPr/>
          <a:lstStyle/>
          <a:p>
            <a:pPr>
              <a:defRPr lang="en-IN"/>
            </a:pPr>
            <a:endParaRPr lang="en-US"/>
          </a:p>
        </c:txPr>
        <c:crossAx val="106098688"/>
        <c:crosses val="autoZero"/>
        <c:crossBetween val="midCat"/>
        <c:majorUnit val="10"/>
        <c:minorUnit val="1"/>
      </c:valAx>
    </c:plotArea>
    <c:legend>
      <c:legendPos val="r"/>
      <c:txPr>
        <a:bodyPr/>
        <a:lstStyle/>
        <a:p>
          <a:pPr>
            <a:defRPr lang="en-IN"/>
          </a:pPr>
          <a:endParaRPr lang="en-US"/>
        </a:p>
      </c:txPr>
    </c:legend>
    <c:plotVisOnly val="1"/>
    <c:dispBlanksAs val="gap"/>
  </c:chart>
  <c:printSettings>
    <c:headerFooter/>
    <c:pageMargins b="0.75000000000000078" l="0.70000000000000062" r="0.70000000000000062" t="0.7500000000000007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IN"/>
            </a:pPr>
            <a:r>
              <a:rPr lang="en-US" sz="1000"/>
              <a:t>Relation</a:t>
            </a:r>
            <a:r>
              <a:rPr lang="en-US" sz="1000" baseline="0"/>
              <a:t> Between Accelerated and 28 day Compressive Strength of Concrete (Warm Water Method)</a:t>
            </a:r>
            <a:r>
              <a:rPr lang="en-US" sz="1000"/>
              <a:t> </a:t>
            </a:r>
          </a:p>
        </c:rich>
      </c:tx>
    </c:title>
    <c:plotArea>
      <c:layout/>
      <c:scatterChart>
        <c:scatterStyle val="smoothMarker"/>
        <c:ser>
          <c:idx val="0"/>
          <c:order val="0"/>
          <c:tx>
            <c:strRef>
              <c:f>'[1]Standard Deviation'!$G$73</c:f>
              <c:strCache>
                <c:ptCount val="1"/>
                <c:pt idx="0">
                  <c:v>28 day </c:v>
                </c:pt>
              </c:strCache>
            </c:strRef>
          </c:tx>
          <c:marker>
            <c:symbol val="none"/>
          </c:marker>
          <c:xVal>
            <c:numRef>
              <c:f>'[1]Standard Deviation'!$F$74:$F$77</c:f>
              <c:numCache>
                <c:formatCode>General</c:formatCode>
                <c:ptCount val="4"/>
                <c:pt idx="0">
                  <c:v>2</c:v>
                </c:pt>
                <c:pt idx="1">
                  <c:v>20</c:v>
                </c:pt>
                <c:pt idx="2">
                  <c:v>30</c:v>
                </c:pt>
                <c:pt idx="3">
                  <c:v>36</c:v>
                </c:pt>
              </c:numCache>
            </c:numRef>
          </c:xVal>
          <c:yVal>
            <c:numRef>
              <c:f>'[1]Standard Deviation'!$G$74:$G$77</c:f>
              <c:numCache>
                <c:formatCode>General</c:formatCode>
                <c:ptCount val="4"/>
                <c:pt idx="0">
                  <c:v>14.65</c:v>
                </c:pt>
                <c:pt idx="1">
                  <c:v>32.65</c:v>
                </c:pt>
                <c:pt idx="2">
                  <c:v>42.65</c:v>
                </c:pt>
                <c:pt idx="3">
                  <c:v>48.65</c:v>
                </c:pt>
              </c:numCache>
            </c:numRef>
          </c:yVal>
          <c:smooth val="1"/>
        </c:ser>
        <c:axId val="107682816"/>
        <c:axId val="107712896"/>
      </c:scatterChart>
      <c:valAx>
        <c:axId val="107682816"/>
        <c:scaling>
          <c:orientation val="minMax"/>
          <c:max val="70"/>
          <c:min val="0"/>
        </c:scaling>
        <c:axPos val="b"/>
        <c:title>
          <c:tx>
            <c:rich>
              <a:bodyPr/>
              <a:lstStyle/>
              <a:p>
                <a:pPr>
                  <a:defRPr lang="en-IN"/>
                </a:pPr>
                <a:r>
                  <a:rPr lang="en-IN"/>
                  <a:t>Accelerated</a:t>
                </a:r>
                <a:r>
                  <a:rPr lang="en-IN" baseline="0"/>
                  <a:t> Strength(N/mm2)</a:t>
                </a:r>
                <a:endParaRPr lang="en-IN"/>
              </a:p>
            </c:rich>
          </c:tx>
        </c:title>
        <c:numFmt formatCode="General" sourceLinked="1"/>
        <c:majorTickMark val="none"/>
        <c:tickLblPos val="nextTo"/>
        <c:txPr>
          <a:bodyPr/>
          <a:lstStyle/>
          <a:p>
            <a:pPr>
              <a:defRPr lang="en-IN"/>
            </a:pPr>
            <a:endParaRPr lang="en-US"/>
          </a:p>
        </c:txPr>
        <c:crossAx val="107712896"/>
        <c:crosses val="autoZero"/>
        <c:crossBetween val="midCat"/>
        <c:majorUnit val="10"/>
        <c:minorUnit val="1"/>
      </c:valAx>
      <c:valAx>
        <c:axId val="107712896"/>
        <c:scaling>
          <c:orientation val="minMax"/>
          <c:max val="70"/>
          <c:min val="0"/>
        </c:scaling>
        <c:axPos val="l"/>
        <c:majorGridlines/>
        <c:title>
          <c:tx>
            <c:rich>
              <a:bodyPr/>
              <a:lstStyle/>
              <a:p>
                <a:pPr>
                  <a:defRPr lang="en-IN"/>
                </a:pPr>
                <a:r>
                  <a:rPr lang="en-IN"/>
                  <a:t>28-Day</a:t>
                </a:r>
                <a:r>
                  <a:rPr lang="en-IN" baseline="0"/>
                  <a:t> Compressive Strength (N/mm2)</a:t>
                </a:r>
                <a:endParaRPr lang="en-IN"/>
              </a:p>
            </c:rich>
          </c:tx>
        </c:title>
        <c:numFmt formatCode="General" sourceLinked="1"/>
        <c:majorTickMark val="none"/>
        <c:tickLblPos val="nextTo"/>
        <c:txPr>
          <a:bodyPr/>
          <a:lstStyle/>
          <a:p>
            <a:pPr>
              <a:defRPr lang="en-IN"/>
            </a:pPr>
            <a:endParaRPr lang="en-US"/>
          </a:p>
        </c:txPr>
        <c:crossAx val="107682816"/>
        <c:crosses val="autoZero"/>
        <c:crossBetween val="midCat"/>
        <c:majorUnit val="10"/>
        <c:minorUnit val="1"/>
      </c:valAx>
    </c:plotArea>
    <c:legend>
      <c:legendPos val="r"/>
      <c:txPr>
        <a:bodyPr/>
        <a:lstStyle/>
        <a:p>
          <a:pPr>
            <a:defRPr lang="en-IN"/>
          </a:pPr>
          <a:endParaRPr lang="en-US"/>
        </a:p>
      </c:txPr>
    </c:legend>
    <c:plotVisOnly val="1"/>
    <c:dispBlanksAs val="gap"/>
  </c:chart>
  <c:printSettings>
    <c:headerFooter/>
    <c:pageMargins b="0.75000000000000078" l="0.70000000000000062" r="0.70000000000000062" t="0.750000000000000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IN" sz="1400"/>
            </a:pPr>
            <a:r>
              <a:rPr lang="en-US" sz="1400"/>
              <a:t>Generalised Relation Between Water Cement Ratio And Compressive Strength Of Concrete</a:t>
            </a:r>
          </a:p>
        </c:rich>
      </c:tx>
      <c:layout>
        <c:manualLayout>
          <c:xMode val="edge"/>
          <c:yMode val="edge"/>
          <c:x val="0.13261430022860038"/>
          <c:y val="0"/>
        </c:manualLayout>
      </c:layout>
    </c:title>
    <c:plotArea>
      <c:layout>
        <c:manualLayout>
          <c:layoutTarget val="inner"/>
          <c:xMode val="edge"/>
          <c:yMode val="edge"/>
          <c:x val="0.21070612141224498"/>
          <c:y val="0.19114610673665788"/>
          <c:w val="0.71583735500804335"/>
          <c:h val="0.66676053343800046"/>
        </c:manualLayout>
      </c:layout>
      <c:lineChart>
        <c:grouping val="standard"/>
        <c:ser>
          <c:idx val="0"/>
          <c:order val="0"/>
          <c:marker>
            <c:symbol val="none"/>
          </c:marker>
          <c:cat>
            <c:numRef>
              <c:f>WC!$C$22:$C$28</c:f>
              <c:numCache>
                <c:formatCode>General</c:formatCode>
                <c:ptCount val="7"/>
                <c:pt idx="0">
                  <c:v>0.3</c:v>
                </c:pt>
                <c:pt idx="1">
                  <c:v>0.35</c:v>
                </c:pt>
                <c:pt idx="2">
                  <c:v>0.4</c:v>
                </c:pt>
                <c:pt idx="3">
                  <c:v>0.45</c:v>
                </c:pt>
                <c:pt idx="4">
                  <c:v>0.5</c:v>
                </c:pt>
                <c:pt idx="5">
                  <c:v>0.55000000000000004</c:v>
                </c:pt>
                <c:pt idx="6">
                  <c:v>0.6</c:v>
                </c:pt>
              </c:numCache>
            </c:numRef>
          </c:cat>
          <c:val>
            <c:numRef>
              <c:f>WC!$C$22:$C$29</c:f>
              <c:numCache>
                <c:formatCode>General</c:formatCode>
                <c:ptCount val="8"/>
                <c:pt idx="0">
                  <c:v>0.3</c:v>
                </c:pt>
                <c:pt idx="1">
                  <c:v>0.35</c:v>
                </c:pt>
                <c:pt idx="2">
                  <c:v>0.4</c:v>
                </c:pt>
                <c:pt idx="3">
                  <c:v>0.45</c:v>
                </c:pt>
                <c:pt idx="4">
                  <c:v>0.5</c:v>
                </c:pt>
                <c:pt idx="5">
                  <c:v>0.55000000000000004</c:v>
                </c:pt>
                <c:pt idx="6">
                  <c:v>0.6</c:v>
                </c:pt>
                <c:pt idx="7">
                  <c:v>0.67500000000000004</c:v>
                </c:pt>
              </c:numCache>
            </c:numRef>
          </c:val>
        </c:ser>
        <c:ser>
          <c:idx val="1"/>
          <c:order val="1"/>
          <c:marker>
            <c:symbol val="none"/>
          </c:marker>
          <c:cat>
            <c:numRef>
              <c:f>WC!$C$22:$C$28</c:f>
              <c:numCache>
                <c:formatCode>General</c:formatCode>
                <c:ptCount val="7"/>
                <c:pt idx="0">
                  <c:v>0.3</c:v>
                </c:pt>
                <c:pt idx="1">
                  <c:v>0.35</c:v>
                </c:pt>
                <c:pt idx="2">
                  <c:v>0.4</c:v>
                </c:pt>
                <c:pt idx="3">
                  <c:v>0.45</c:v>
                </c:pt>
                <c:pt idx="4">
                  <c:v>0.5</c:v>
                </c:pt>
                <c:pt idx="5">
                  <c:v>0.55000000000000004</c:v>
                </c:pt>
                <c:pt idx="6">
                  <c:v>0.6</c:v>
                </c:pt>
              </c:numCache>
            </c:numRef>
          </c:cat>
          <c:val>
            <c:numRef>
              <c:f>WC!$E$22:$E$29</c:f>
              <c:numCache>
                <c:formatCode>General</c:formatCode>
                <c:ptCount val="8"/>
                <c:pt idx="0">
                  <c:v>51</c:v>
                </c:pt>
                <c:pt idx="1">
                  <c:v>43.5</c:v>
                </c:pt>
                <c:pt idx="2">
                  <c:v>36.5</c:v>
                </c:pt>
                <c:pt idx="3">
                  <c:v>31</c:v>
                </c:pt>
                <c:pt idx="4">
                  <c:v>26.5</c:v>
                </c:pt>
                <c:pt idx="5">
                  <c:v>22.5</c:v>
                </c:pt>
                <c:pt idx="6">
                  <c:v>19.5</c:v>
                </c:pt>
                <c:pt idx="7">
                  <c:v>18</c:v>
                </c:pt>
              </c:numCache>
            </c:numRef>
          </c:val>
        </c:ser>
        <c:hiLowLines>
          <c:spPr>
            <a:ln>
              <a:solidFill>
                <a:srgbClr val="1F497D">
                  <a:lumMod val="75000"/>
                  <a:alpha val="10000"/>
                </a:srgbClr>
              </a:solidFill>
            </a:ln>
          </c:spPr>
        </c:hiLowLines>
        <c:marker val="1"/>
        <c:axId val="108137088"/>
        <c:axId val="108163840"/>
      </c:lineChart>
      <c:catAx>
        <c:axId val="108137088"/>
        <c:scaling>
          <c:orientation val="minMax"/>
        </c:scaling>
        <c:axPos val="b"/>
        <c:majorGridlines>
          <c:spPr>
            <a:ln>
              <a:solidFill>
                <a:srgbClr val="1F497D">
                  <a:lumMod val="75000"/>
                  <a:alpha val="9000"/>
                </a:srgbClr>
              </a:solidFill>
            </a:ln>
          </c:spPr>
        </c:majorGridlines>
        <c:minorGridlines>
          <c:spPr>
            <a:ln>
              <a:solidFill>
                <a:srgbClr val="1F497D">
                  <a:lumMod val="60000"/>
                  <a:lumOff val="40000"/>
                  <a:alpha val="16000"/>
                </a:srgbClr>
              </a:solidFill>
            </a:ln>
          </c:spPr>
        </c:minorGridlines>
        <c:title>
          <c:tx>
            <c:rich>
              <a:bodyPr/>
              <a:lstStyle/>
              <a:p>
                <a:pPr>
                  <a:defRPr lang="en-IN"/>
                </a:pPr>
                <a:r>
                  <a:rPr lang="en-US"/>
                  <a:t>Water Cement Ratio</a:t>
                </a:r>
              </a:p>
            </c:rich>
          </c:tx>
          <c:layout/>
        </c:title>
        <c:numFmt formatCode="General" sourceLinked="1"/>
        <c:majorTickMark val="none"/>
        <c:tickLblPos val="nextTo"/>
        <c:txPr>
          <a:bodyPr/>
          <a:lstStyle/>
          <a:p>
            <a:pPr>
              <a:defRPr lang="en-IN"/>
            </a:pPr>
            <a:endParaRPr lang="en-US"/>
          </a:p>
        </c:txPr>
        <c:crossAx val="108163840"/>
        <c:crosses val="autoZero"/>
        <c:auto val="1"/>
        <c:lblAlgn val="ctr"/>
        <c:lblOffset val="100"/>
      </c:catAx>
      <c:valAx>
        <c:axId val="108163840"/>
        <c:scaling>
          <c:orientation val="minMax"/>
        </c:scaling>
        <c:axPos val="l"/>
        <c:majorGridlines>
          <c:spPr>
            <a:ln>
              <a:solidFill>
                <a:schemeClr val="tx2">
                  <a:lumMod val="75000"/>
                  <a:alpha val="28000"/>
                </a:schemeClr>
              </a:solidFill>
            </a:ln>
          </c:spPr>
        </c:majorGridlines>
        <c:minorGridlines>
          <c:spPr>
            <a:ln>
              <a:solidFill>
                <a:schemeClr val="tx2">
                  <a:lumMod val="60000"/>
                  <a:lumOff val="40000"/>
                  <a:alpha val="23000"/>
                </a:schemeClr>
              </a:solidFill>
            </a:ln>
          </c:spPr>
        </c:minorGridlines>
        <c:title>
          <c:tx>
            <c:rich>
              <a:bodyPr/>
              <a:lstStyle/>
              <a:p>
                <a:pPr>
                  <a:defRPr lang="en-IN"/>
                </a:pPr>
                <a:r>
                  <a:rPr lang="en-US"/>
                  <a:t>28 Day Compressive Strength of Concrete in N/mm2</a:t>
                </a:r>
              </a:p>
              <a:p>
                <a:pPr>
                  <a:defRPr lang="en-IN"/>
                </a:pPr>
                <a:endParaRPr lang="en-US"/>
              </a:p>
            </c:rich>
          </c:tx>
          <c:layout>
            <c:manualLayout>
              <c:xMode val="edge"/>
              <c:yMode val="edge"/>
              <c:x val="3.8820802641605284E-2"/>
              <c:y val="0.1766222680108912"/>
            </c:manualLayout>
          </c:layout>
        </c:title>
        <c:numFmt formatCode="General" sourceLinked="1"/>
        <c:tickLblPos val="nextTo"/>
        <c:txPr>
          <a:bodyPr/>
          <a:lstStyle/>
          <a:p>
            <a:pPr>
              <a:defRPr lang="en-IN"/>
            </a:pPr>
            <a:endParaRPr lang="en-US"/>
          </a:p>
        </c:txPr>
        <c:crossAx val="108137088"/>
        <c:crosses val="autoZero"/>
        <c:crossBetween val="between"/>
      </c:valAx>
    </c:plotArea>
    <c:legend>
      <c:legendPos val="r"/>
      <c:legendEntry>
        <c:idx val="0"/>
        <c:delete val="1"/>
      </c:legendEntry>
      <c:layout/>
      <c:txPr>
        <a:bodyPr/>
        <a:lstStyle/>
        <a:p>
          <a:pPr>
            <a:defRPr lang="en-IN"/>
          </a:pPr>
          <a:endParaRPr lang="en-US"/>
        </a:p>
      </c:txPr>
    </c:legend>
    <c:plotVisOnly val="1"/>
    <c:dispBlanksAs val="gap"/>
  </c:chart>
  <c:printSettings>
    <c:headerFooter/>
    <c:pageMargins b="0.75000000000000744" l="0.70000000000000062" r="0.70000000000000062" t="0.750000000000007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8.4488655396266224E-2"/>
          <c:y val="9.5085330197248727E-2"/>
          <c:w val="0.84458346583898336"/>
          <c:h val="0.80565312743173689"/>
        </c:manualLayout>
      </c:layout>
      <c:scatterChart>
        <c:scatterStyle val="smoothMarker"/>
        <c:ser>
          <c:idx val="0"/>
          <c:order val="0"/>
          <c:tx>
            <c:strRef>
              <c:f>'FA Grading'!$I$12</c:f>
              <c:strCache>
                <c:ptCount val="1"/>
                <c:pt idx="0">
                  <c:v>LB</c:v>
                </c:pt>
              </c:strCache>
            </c:strRef>
          </c:tx>
          <c:marker>
            <c:symbol val="none"/>
          </c:marker>
          <c:xVal>
            <c:numRef>
              <c:f>'FA Grading'!$H$14:$H$22</c:f>
              <c:numCache>
                <c:formatCode>General</c:formatCode>
                <c:ptCount val="9"/>
                <c:pt idx="0">
                  <c:v>4.75</c:v>
                </c:pt>
                <c:pt idx="1">
                  <c:v>2.36</c:v>
                </c:pt>
                <c:pt idx="2">
                  <c:v>1.18</c:v>
                </c:pt>
                <c:pt idx="3">
                  <c:v>0.6</c:v>
                </c:pt>
                <c:pt idx="4">
                  <c:v>0.3</c:v>
                </c:pt>
                <c:pt idx="5">
                  <c:v>0.15</c:v>
                </c:pt>
              </c:numCache>
            </c:numRef>
          </c:xVal>
          <c:yVal>
            <c:numRef>
              <c:f>'FA Grading'!$I$14:$I$22</c:f>
              <c:numCache>
                <c:formatCode>General</c:formatCode>
                <c:ptCount val="9"/>
                <c:pt idx="0">
                  <c:v>90</c:v>
                </c:pt>
                <c:pt idx="1">
                  <c:v>60</c:v>
                </c:pt>
                <c:pt idx="2">
                  <c:v>30</c:v>
                </c:pt>
                <c:pt idx="3">
                  <c:v>15</c:v>
                </c:pt>
                <c:pt idx="4" formatCode="@">
                  <c:v>0</c:v>
                </c:pt>
                <c:pt idx="5">
                  <c:v>0</c:v>
                </c:pt>
              </c:numCache>
            </c:numRef>
          </c:yVal>
          <c:smooth val="1"/>
        </c:ser>
        <c:ser>
          <c:idx val="1"/>
          <c:order val="1"/>
          <c:tx>
            <c:strRef>
              <c:f>'FA Grading'!$J$12</c:f>
              <c:strCache>
                <c:ptCount val="1"/>
                <c:pt idx="0">
                  <c:v>UB</c:v>
                </c:pt>
              </c:strCache>
            </c:strRef>
          </c:tx>
          <c:marker>
            <c:symbol val="none"/>
          </c:marker>
          <c:xVal>
            <c:numRef>
              <c:f>'FA Grading'!$H$14:$H$22</c:f>
              <c:numCache>
                <c:formatCode>General</c:formatCode>
                <c:ptCount val="9"/>
                <c:pt idx="0">
                  <c:v>4.75</c:v>
                </c:pt>
                <c:pt idx="1">
                  <c:v>2.36</c:v>
                </c:pt>
                <c:pt idx="2">
                  <c:v>1.18</c:v>
                </c:pt>
                <c:pt idx="3">
                  <c:v>0.6</c:v>
                </c:pt>
                <c:pt idx="4">
                  <c:v>0.3</c:v>
                </c:pt>
                <c:pt idx="5">
                  <c:v>0.15</c:v>
                </c:pt>
              </c:numCache>
            </c:numRef>
          </c:xVal>
          <c:yVal>
            <c:numRef>
              <c:f>'FA Grading'!$J$14:$J$22</c:f>
              <c:numCache>
                <c:formatCode>General</c:formatCode>
                <c:ptCount val="9"/>
                <c:pt idx="0">
                  <c:v>100</c:v>
                </c:pt>
                <c:pt idx="1">
                  <c:v>95</c:v>
                </c:pt>
                <c:pt idx="2">
                  <c:v>70</c:v>
                </c:pt>
                <c:pt idx="3">
                  <c:v>34</c:v>
                </c:pt>
                <c:pt idx="4" formatCode="@">
                  <c:v>0</c:v>
                </c:pt>
                <c:pt idx="5">
                  <c:v>10</c:v>
                </c:pt>
              </c:numCache>
            </c:numRef>
          </c:yVal>
          <c:smooth val="1"/>
        </c:ser>
        <c:ser>
          <c:idx val="2"/>
          <c:order val="2"/>
          <c:tx>
            <c:v>Test Result</c:v>
          </c:tx>
          <c:marker>
            <c:symbol val="none"/>
          </c:marker>
          <c:xVal>
            <c:numRef>
              <c:f>'FA Grading'!$C$11:$C$17</c:f>
              <c:numCache>
                <c:formatCode>General</c:formatCode>
                <c:ptCount val="7"/>
                <c:pt idx="0">
                  <c:v>10</c:v>
                </c:pt>
                <c:pt idx="1">
                  <c:v>4.75</c:v>
                </c:pt>
                <c:pt idx="2">
                  <c:v>2.36</c:v>
                </c:pt>
                <c:pt idx="3">
                  <c:v>1.18</c:v>
                </c:pt>
                <c:pt idx="4">
                  <c:v>0.6</c:v>
                </c:pt>
                <c:pt idx="5">
                  <c:v>0.3</c:v>
                </c:pt>
                <c:pt idx="6">
                  <c:v>0.15</c:v>
                </c:pt>
              </c:numCache>
            </c:numRef>
          </c:xVal>
          <c:yVal>
            <c:numRef>
              <c:f>'FA Grading'!$D$11:$D$17</c:f>
              <c:numCache>
                <c:formatCode>0.00</c:formatCode>
                <c:ptCount val="7"/>
                <c:pt idx="0">
                  <c:v>100</c:v>
                </c:pt>
                <c:pt idx="1">
                  <c:v>100</c:v>
                </c:pt>
                <c:pt idx="2">
                  <c:v>76.666666666666671</c:v>
                </c:pt>
                <c:pt idx="3">
                  <c:v>53.333333333333336</c:v>
                </c:pt>
                <c:pt idx="4">
                  <c:v>30.000000000000014</c:v>
                </c:pt>
                <c:pt idx="5">
                  <c:v>6.6666666666666714</c:v>
                </c:pt>
                <c:pt idx="6">
                  <c:v>0</c:v>
                </c:pt>
              </c:numCache>
            </c:numRef>
          </c:yVal>
          <c:smooth val="1"/>
        </c:ser>
        <c:axId val="108047744"/>
        <c:axId val="108062208"/>
      </c:scatterChart>
      <c:valAx>
        <c:axId val="108047744"/>
        <c:scaling>
          <c:logBase val="10"/>
          <c:orientation val="minMax"/>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0241347381047105"/>
              <c:y val="0.91588997729957355"/>
            </c:manualLayout>
          </c:layout>
        </c:title>
        <c:numFmt formatCode="General" sourceLinked="1"/>
        <c:tickLblPos val="nextTo"/>
        <c:txPr>
          <a:bodyPr/>
          <a:lstStyle/>
          <a:p>
            <a:pPr>
              <a:defRPr lang="en-IN"/>
            </a:pPr>
            <a:endParaRPr lang="en-US"/>
          </a:p>
        </c:txPr>
        <c:crossAx val="108062208"/>
        <c:crosses val="autoZero"/>
        <c:crossBetween val="midCat"/>
      </c:valAx>
      <c:valAx>
        <c:axId val="108062208"/>
        <c:scaling>
          <c:orientation val="minMax"/>
          <c:max val="100"/>
          <c:min val="0"/>
        </c:scaling>
        <c:axPos val="l"/>
        <c:majorGridlines/>
        <c:minorGridlines/>
        <c:title>
          <c:tx>
            <c:rich>
              <a:bodyPr/>
              <a:lstStyle/>
              <a:p>
                <a:pPr>
                  <a:defRPr lang="en-IN"/>
                </a:pPr>
                <a:r>
                  <a:rPr lang="en-US"/>
                  <a:t>Cumulative Percentage Passing</a:t>
                </a:r>
                <a:r>
                  <a:rPr lang="en-US" baseline="0"/>
                  <a:t> for each sieve</a:t>
                </a:r>
                <a:r>
                  <a:rPr lang="en-US"/>
                  <a:t> </a:t>
                </a:r>
              </a:p>
            </c:rich>
          </c:tx>
          <c:layout>
            <c:manualLayout>
              <c:xMode val="edge"/>
              <c:yMode val="edge"/>
              <c:x val="2.2816707264110406E-2"/>
              <c:y val="0.10234349695649746"/>
            </c:manualLayout>
          </c:layout>
        </c:title>
        <c:numFmt formatCode="General" sourceLinked="1"/>
        <c:tickLblPos val="nextTo"/>
        <c:txPr>
          <a:bodyPr/>
          <a:lstStyle/>
          <a:p>
            <a:pPr>
              <a:defRPr lang="en-IN"/>
            </a:pPr>
            <a:endParaRPr lang="en-US"/>
          </a:p>
        </c:txPr>
        <c:crossAx val="108047744"/>
        <c:crosses val="autoZero"/>
        <c:crossBetween val="midCat"/>
        <c:minorUnit val="1"/>
      </c:valAx>
    </c:plotArea>
    <c:legend>
      <c:legendPos val="r"/>
      <c:layout>
        <c:manualLayout>
          <c:xMode val="edge"/>
          <c:yMode val="edge"/>
          <c:x val="0.68966611884818163"/>
          <c:y val="0.45423122591005305"/>
          <c:w val="0.19198208332066621"/>
          <c:h val="0.19237141899815505"/>
        </c:manualLayout>
      </c:layout>
      <c:txPr>
        <a:bodyPr/>
        <a:lstStyle/>
        <a:p>
          <a:pPr>
            <a:defRPr lang="en-IN"/>
          </a:pPr>
          <a:endParaRPr lang="en-US"/>
        </a:p>
      </c:txPr>
    </c:legend>
    <c:plotVisOnly val="1"/>
    <c:dispBlanksAs val="gap"/>
  </c:chart>
  <c:printSettings>
    <c:headerFooter/>
    <c:pageMargins b="0.75000000000000799" l="0.70000000000000062" r="0.70000000000000062" t="0.75000000000000799"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en-IN"/>
            </a:pPr>
            <a:r>
              <a:rPr lang="en-US"/>
              <a:t>Zone</a:t>
            </a:r>
            <a:r>
              <a:rPr lang="en-US" baseline="0"/>
              <a:t> 2</a:t>
            </a:r>
            <a:endParaRPr lang="en-US"/>
          </a:p>
        </c:rich>
      </c:tx>
      <c:layout>
        <c:manualLayout>
          <c:xMode val="edge"/>
          <c:yMode val="edge"/>
          <c:x val="8.8644879710872287E-2"/>
          <c:y val="0.10200407972876072"/>
        </c:manualLayout>
      </c:layout>
      <c:overlay val="1"/>
    </c:title>
    <c:plotArea>
      <c:layout>
        <c:manualLayout>
          <c:layoutTarget val="inner"/>
          <c:xMode val="edge"/>
          <c:yMode val="edge"/>
          <c:x val="7.5758457022141804E-2"/>
          <c:y val="8.9374939243705653E-2"/>
          <c:w val="0.85571986428525704"/>
          <c:h val="0.80457011475148721"/>
        </c:manualLayout>
      </c:layout>
      <c:scatterChart>
        <c:scatterStyle val="smoothMarker"/>
        <c:ser>
          <c:idx val="0"/>
          <c:order val="0"/>
          <c:tx>
            <c:strRef>
              <c:f>'FA Grading'!$L$12</c:f>
              <c:strCache>
                <c:ptCount val="1"/>
                <c:pt idx="0">
                  <c:v>LB</c:v>
                </c:pt>
              </c:strCache>
            </c:strRef>
          </c:tx>
          <c:marker>
            <c:symbol val="none"/>
          </c:marker>
          <c:xVal>
            <c:numRef>
              <c:f>'FA Grading'!$H$13:$H$19</c:f>
              <c:numCache>
                <c:formatCode>General</c:formatCode>
                <c:ptCount val="7"/>
                <c:pt idx="0">
                  <c:v>10</c:v>
                </c:pt>
                <c:pt idx="1">
                  <c:v>4.75</c:v>
                </c:pt>
                <c:pt idx="2">
                  <c:v>2.36</c:v>
                </c:pt>
                <c:pt idx="3">
                  <c:v>1.18</c:v>
                </c:pt>
                <c:pt idx="4">
                  <c:v>0.6</c:v>
                </c:pt>
                <c:pt idx="5">
                  <c:v>0.3</c:v>
                </c:pt>
                <c:pt idx="6">
                  <c:v>0.15</c:v>
                </c:pt>
              </c:numCache>
            </c:numRef>
          </c:xVal>
          <c:yVal>
            <c:numRef>
              <c:f>'FA Grading'!$L$13:$L$19</c:f>
              <c:numCache>
                <c:formatCode>General</c:formatCode>
                <c:ptCount val="7"/>
                <c:pt idx="0">
                  <c:v>100</c:v>
                </c:pt>
                <c:pt idx="1">
                  <c:v>90</c:v>
                </c:pt>
                <c:pt idx="2">
                  <c:v>75</c:v>
                </c:pt>
                <c:pt idx="3">
                  <c:v>55</c:v>
                </c:pt>
                <c:pt idx="4">
                  <c:v>35</c:v>
                </c:pt>
                <c:pt idx="5" formatCode="@">
                  <c:v>0</c:v>
                </c:pt>
                <c:pt idx="6">
                  <c:v>0</c:v>
                </c:pt>
              </c:numCache>
            </c:numRef>
          </c:yVal>
          <c:smooth val="1"/>
        </c:ser>
        <c:ser>
          <c:idx val="1"/>
          <c:order val="1"/>
          <c:tx>
            <c:strRef>
              <c:f>'FA Grading'!$M$12</c:f>
              <c:strCache>
                <c:ptCount val="1"/>
                <c:pt idx="0">
                  <c:v>UB</c:v>
                </c:pt>
              </c:strCache>
            </c:strRef>
          </c:tx>
          <c:marker>
            <c:symbol val="none"/>
          </c:marker>
          <c:xVal>
            <c:numRef>
              <c:f>'FA Grading'!$H$13:$H$19</c:f>
              <c:numCache>
                <c:formatCode>General</c:formatCode>
                <c:ptCount val="7"/>
                <c:pt idx="0">
                  <c:v>10</c:v>
                </c:pt>
                <c:pt idx="1">
                  <c:v>4.75</c:v>
                </c:pt>
                <c:pt idx="2">
                  <c:v>2.36</c:v>
                </c:pt>
                <c:pt idx="3">
                  <c:v>1.18</c:v>
                </c:pt>
                <c:pt idx="4">
                  <c:v>0.6</c:v>
                </c:pt>
                <c:pt idx="5">
                  <c:v>0.3</c:v>
                </c:pt>
                <c:pt idx="6">
                  <c:v>0.15</c:v>
                </c:pt>
              </c:numCache>
            </c:numRef>
          </c:xVal>
          <c:yVal>
            <c:numRef>
              <c:f>'FA Grading'!$M$13:$M$19</c:f>
              <c:numCache>
                <c:formatCode>General</c:formatCode>
                <c:ptCount val="7"/>
                <c:pt idx="0">
                  <c:v>100</c:v>
                </c:pt>
                <c:pt idx="1">
                  <c:v>100</c:v>
                </c:pt>
                <c:pt idx="2">
                  <c:v>100</c:v>
                </c:pt>
                <c:pt idx="3">
                  <c:v>90</c:v>
                </c:pt>
                <c:pt idx="4">
                  <c:v>55</c:v>
                </c:pt>
                <c:pt idx="5">
                  <c:v>30</c:v>
                </c:pt>
                <c:pt idx="6">
                  <c:v>10</c:v>
                </c:pt>
              </c:numCache>
            </c:numRef>
          </c:yVal>
          <c:smooth val="1"/>
        </c:ser>
        <c:ser>
          <c:idx val="2"/>
          <c:order val="2"/>
          <c:tx>
            <c:v>Test Result</c:v>
          </c:tx>
          <c:marker>
            <c:symbol val="none"/>
          </c:marker>
          <c:xVal>
            <c:numRef>
              <c:f>'FA Grading'!$C$11:$C$17</c:f>
              <c:numCache>
                <c:formatCode>General</c:formatCode>
                <c:ptCount val="7"/>
                <c:pt idx="0">
                  <c:v>10</c:v>
                </c:pt>
                <c:pt idx="1">
                  <c:v>4.75</c:v>
                </c:pt>
                <c:pt idx="2">
                  <c:v>2.36</c:v>
                </c:pt>
                <c:pt idx="3">
                  <c:v>1.18</c:v>
                </c:pt>
                <c:pt idx="4">
                  <c:v>0.6</c:v>
                </c:pt>
                <c:pt idx="5">
                  <c:v>0.3</c:v>
                </c:pt>
                <c:pt idx="6">
                  <c:v>0.15</c:v>
                </c:pt>
              </c:numCache>
            </c:numRef>
          </c:xVal>
          <c:yVal>
            <c:numRef>
              <c:f>'FA Grading'!$D$11:$D$17</c:f>
              <c:numCache>
                <c:formatCode>0.00</c:formatCode>
                <c:ptCount val="7"/>
                <c:pt idx="0">
                  <c:v>100</c:v>
                </c:pt>
                <c:pt idx="1">
                  <c:v>100</c:v>
                </c:pt>
                <c:pt idx="2">
                  <c:v>76.666666666666671</c:v>
                </c:pt>
                <c:pt idx="3">
                  <c:v>53.333333333333336</c:v>
                </c:pt>
                <c:pt idx="4">
                  <c:v>30.000000000000014</c:v>
                </c:pt>
                <c:pt idx="5">
                  <c:v>6.6666666666666714</c:v>
                </c:pt>
                <c:pt idx="6">
                  <c:v>0</c:v>
                </c:pt>
              </c:numCache>
            </c:numRef>
          </c:yVal>
          <c:smooth val="1"/>
        </c:ser>
        <c:axId val="108297216"/>
        <c:axId val="108303488"/>
      </c:scatterChart>
      <c:valAx>
        <c:axId val="108297216"/>
        <c:scaling>
          <c:logBase val="10"/>
          <c:orientation val="minMax"/>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1261360622605131"/>
              <c:y val="0.91505315133761256"/>
            </c:manualLayout>
          </c:layout>
        </c:title>
        <c:numFmt formatCode="General" sourceLinked="1"/>
        <c:tickLblPos val="nextTo"/>
        <c:txPr>
          <a:bodyPr/>
          <a:lstStyle/>
          <a:p>
            <a:pPr>
              <a:defRPr lang="en-IN"/>
            </a:pPr>
            <a:endParaRPr lang="en-US"/>
          </a:p>
        </c:txPr>
        <c:crossAx val="108303488"/>
        <c:crosses val="autoZero"/>
        <c:crossBetween val="midCat"/>
      </c:valAx>
      <c:valAx>
        <c:axId val="108303488"/>
        <c:scaling>
          <c:orientation val="minMax"/>
          <c:max val="100"/>
          <c:min val="0"/>
        </c:scaling>
        <c:axPos val="l"/>
        <c:majorGridlines/>
        <c:minorGridlines/>
        <c:title>
          <c:tx>
            <c:rich>
              <a:bodyPr/>
              <a:lstStyle/>
              <a:p>
                <a:pPr>
                  <a:defRPr lang="en-IN"/>
                </a:pPr>
                <a:r>
                  <a:rPr lang="en-US"/>
                  <a:t>Cumulative</a:t>
                </a:r>
                <a:r>
                  <a:rPr lang="en-US" baseline="0"/>
                  <a:t> percentage passing for each sieve</a:t>
                </a:r>
                <a:endParaRPr lang="en-US"/>
              </a:p>
            </c:rich>
          </c:tx>
          <c:layout>
            <c:manualLayout>
              <c:xMode val="edge"/>
              <c:yMode val="edge"/>
              <c:x val="1.6237116701875678E-2"/>
              <c:y val="0.12110388576098305"/>
            </c:manualLayout>
          </c:layout>
        </c:title>
        <c:numFmt formatCode="General" sourceLinked="1"/>
        <c:tickLblPos val="nextTo"/>
        <c:txPr>
          <a:bodyPr/>
          <a:lstStyle/>
          <a:p>
            <a:pPr>
              <a:defRPr lang="en-IN"/>
            </a:pPr>
            <a:endParaRPr lang="en-US"/>
          </a:p>
        </c:txPr>
        <c:crossAx val="108297216"/>
        <c:crosses val="autoZero"/>
        <c:crossBetween val="midCat"/>
        <c:minorUnit val="1"/>
      </c:valAx>
    </c:plotArea>
    <c:legend>
      <c:legendPos val="r"/>
      <c:layout>
        <c:manualLayout>
          <c:xMode val="edge"/>
          <c:yMode val="edge"/>
          <c:x val="0.75368589306960976"/>
          <c:y val="0.43687740623934707"/>
          <c:w val="0.18518938494907056"/>
          <c:h val="0.1918611499822469"/>
        </c:manualLayout>
      </c:layout>
      <c:txPr>
        <a:bodyPr/>
        <a:lstStyle/>
        <a:p>
          <a:pPr>
            <a:defRPr lang="en-IN"/>
          </a:pPr>
          <a:endParaRPr lang="en-US"/>
        </a:p>
      </c:txPr>
    </c:legend>
    <c:plotVisOnly val="1"/>
    <c:dispBlanksAs val="gap"/>
  </c:chart>
  <c:printSettings>
    <c:headerFooter/>
    <c:pageMargins b="0.75000000000000777" l="0.70000000000000062" r="0.70000000000000062" t="0.7500000000000077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1715731479510986E-2"/>
          <c:y val="7.9894134459052232E-2"/>
          <c:w val="0.84333801518053564"/>
          <c:h val="0.86628115034008646"/>
        </c:manualLayout>
      </c:layout>
      <c:scatterChart>
        <c:scatterStyle val="smoothMarker"/>
        <c:ser>
          <c:idx val="0"/>
          <c:order val="0"/>
          <c:tx>
            <c:strRef>
              <c:f>'FA Grading'!$O$12</c:f>
              <c:strCache>
                <c:ptCount val="1"/>
                <c:pt idx="0">
                  <c:v>LB</c:v>
                </c:pt>
              </c:strCache>
            </c:strRef>
          </c:tx>
          <c:marker>
            <c:symbol val="none"/>
          </c:marker>
          <c:xVal>
            <c:numRef>
              <c:f>'FA Grading'!$H$13:$H$19</c:f>
              <c:numCache>
                <c:formatCode>General</c:formatCode>
                <c:ptCount val="7"/>
                <c:pt idx="0">
                  <c:v>10</c:v>
                </c:pt>
                <c:pt idx="1">
                  <c:v>4.75</c:v>
                </c:pt>
                <c:pt idx="2">
                  <c:v>2.36</c:v>
                </c:pt>
                <c:pt idx="3">
                  <c:v>1.18</c:v>
                </c:pt>
                <c:pt idx="4">
                  <c:v>0.6</c:v>
                </c:pt>
                <c:pt idx="5">
                  <c:v>0.3</c:v>
                </c:pt>
                <c:pt idx="6">
                  <c:v>0.15</c:v>
                </c:pt>
              </c:numCache>
            </c:numRef>
          </c:xVal>
          <c:yVal>
            <c:numRef>
              <c:f>'FA Grading'!$O$13:$O$19</c:f>
              <c:numCache>
                <c:formatCode>General</c:formatCode>
                <c:ptCount val="7"/>
                <c:pt idx="0">
                  <c:v>100</c:v>
                </c:pt>
                <c:pt idx="1">
                  <c:v>90</c:v>
                </c:pt>
                <c:pt idx="2">
                  <c:v>85</c:v>
                </c:pt>
                <c:pt idx="3">
                  <c:v>75</c:v>
                </c:pt>
                <c:pt idx="4">
                  <c:v>60</c:v>
                </c:pt>
                <c:pt idx="5" formatCode="@">
                  <c:v>0</c:v>
                </c:pt>
                <c:pt idx="6">
                  <c:v>0</c:v>
                </c:pt>
              </c:numCache>
            </c:numRef>
          </c:yVal>
          <c:smooth val="1"/>
        </c:ser>
        <c:ser>
          <c:idx val="1"/>
          <c:order val="1"/>
          <c:tx>
            <c:strRef>
              <c:f>'FA Grading'!$P$12</c:f>
              <c:strCache>
                <c:ptCount val="1"/>
                <c:pt idx="0">
                  <c:v>UB</c:v>
                </c:pt>
              </c:strCache>
            </c:strRef>
          </c:tx>
          <c:marker>
            <c:symbol val="none"/>
          </c:marker>
          <c:xVal>
            <c:numRef>
              <c:f>'FA Grading'!$H$13:$H$19</c:f>
              <c:numCache>
                <c:formatCode>General</c:formatCode>
                <c:ptCount val="7"/>
                <c:pt idx="0">
                  <c:v>10</c:v>
                </c:pt>
                <c:pt idx="1">
                  <c:v>4.75</c:v>
                </c:pt>
                <c:pt idx="2">
                  <c:v>2.36</c:v>
                </c:pt>
                <c:pt idx="3">
                  <c:v>1.18</c:v>
                </c:pt>
                <c:pt idx="4">
                  <c:v>0.6</c:v>
                </c:pt>
                <c:pt idx="5">
                  <c:v>0.3</c:v>
                </c:pt>
                <c:pt idx="6">
                  <c:v>0.15</c:v>
                </c:pt>
              </c:numCache>
            </c:numRef>
          </c:xVal>
          <c:yVal>
            <c:numRef>
              <c:f>'FA Grading'!$P$13:$P$19</c:f>
              <c:numCache>
                <c:formatCode>General</c:formatCode>
                <c:ptCount val="7"/>
                <c:pt idx="0">
                  <c:v>100</c:v>
                </c:pt>
                <c:pt idx="1">
                  <c:v>100</c:v>
                </c:pt>
                <c:pt idx="2">
                  <c:v>100</c:v>
                </c:pt>
                <c:pt idx="3">
                  <c:v>100</c:v>
                </c:pt>
                <c:pt idx="4">
                  <c:v>79</c:v>
                </c:pt>
                <c:pt idx="5" formatCode="@">
                  <c:v>0</c:v>
                </c:pt>
                <c:pt idx="6">
                  <c:v>10</c:v>
                </c:pt>
              </c:numCache>
            </c:numRef>
          </c:yVal>
          <c:smooth val="1"/>
        </c:ser>
        <c:ser>
          <c:idx val="2"/>
          <c:order val="2"/>
          <c:tx>
            <c:v>Test Result</c:v>
          </c:tx>
          <c:marker>
            <c:symbol val="none"/>
          </c:marker>
          <c:xVal>
            <c:numRef>
              <c:f>'FA Grading'!$C$11:$C$17</c:f>
              <c:numCache>
                <c:formatCode>General</c:formatCode>
                <c:ptCount val="7"/>
                <c:pt idx="0">
                  <c:v>10</c:v>
                </c:pt>
                <c:pt idx="1">
                  <c:v>4.75</c:v>
                </c:pt>
                <c:pt idx="2">
                  <c:v>2.36</c:v>
                </c:pt>
                <c:pt idx="3">
                  <c:v>1.18</c:v>
                </c:pt>
                <c:pt idx="4">
                  <c:v>0.6</c:v>
                </c:pt>
                <c:pt idx="5">
                  <c:v>0.3</c:v>
                </c:pt>
                <c:pt idx="6">
                  <c:v>0.15</c:v>
                </c:pt>
              </c:numCache>
            </c:numRef>
          </c:xVal>
          <c:yVal>
            <c:numRef>
              <c:f>'FA Grading'!$D$11:$D$17</c:f>
              <c:numCache>
                <c:formatCode>0.00</c:formatCode>
                <c:ptCount val="7"/>
                <c:pt idx="0">
                  <c:v>100</c:v>
                </c:pt>
                <c:pt idx="1">
                  <c:v>100</c:v>
                </c:pt>
                <c:pt idx="2">
                  <c:v>76.666666666666671</c:v>
                </c:pt>
                <c:pt idx="3">
                  <c:v>53.333333333333336</c:v>
                </c:pt>
                <c:pt idx="4">
                  <c:v>30.000000000000014</c:v>
                </c:pt>
                <c:pt idx="5">
                  <c:v>6.6666666666666714</c:v>
                </c:pt>
                <c:pt idx="6">
                  <c:v>0</c:v>
                </c:pt>
              </c:numCache>
            </c:numRef>
          </c:yVal>
          <c:smooth val="1"/>
        </c:ser>
        <c:axId val="108731008"/>
        <c:axId val="108741376"/>
      </c:scatterChart>
      <c:valAx>
        <c:axId val="108731008"/>
        <c:scaling>
          <c:logBase val="10"/>
          <c:orientation val="minMax"/>
          <c:max val="12"/>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2960341588966106"/>
              <c:y val="0.94919871901696051"/>
            </c:manualLayout>
          </c:layout>
        </c:title>
        <c:numFmt formatCode="General" sourceLinked="1"/>
        <c:tickLblPos val="nextTo"/>
        <c:txPr>
          <a:bodyPr/>
          <a:lstStyle/>
          <a:p>
            <a:pPr>
              <a:defRPr lang="en-IN"/>
            </a:pPr>
            <a:endParaRPr lang="en-US"/>
          </a:p>
        </c:txPr>
        <c:crossAx val="108741376"/>
        <c:crosses val="autoZero"/>
        <c:crossBetween val="midCat"/>
      </c:valAx>
      <c:valAx>
        <c:axId val="108741376"/>
        <c:scaling>
          <c:orientation val="minMax"/>
          <c:max val="100"/>
          <c:min val="0"/>
        </c:scaling>
        <c:axPos val="l"/>
        <c:majorGridlines/>
        <c:minorGridlines/>
        <c:title>
          <c:tx>
            <c:rich>
              <a:bodyPr/>
              <a:lstStyle/>
              <a:p>
                <a:pPr>
                  <a:defRPr lang="en-IN"/>
                </a:pPr>
                <a:r>
                  <a:rPr lang="en-US"/>
                  <a:t>Cumulative</a:t>
                </a:r>
                <a:r>
                  <a:rPr lang="en-US" baseline="0"/>
                  <a:t> %passing for each sieve </a:t>
                </a:r>
                <a:endParaRPr lang="en-US"/>
              </a:p>
            </c:rich>
          </c:tx>
          <c:layout>
            <c:manualLayout>
              <c:xMode val="edge"/>
              <c:yMode val="edge"/>
              <c:x val="1.6691282521723614E-2"/>
              <c:y val="0.19826594822950239"/>
            </c:manualLayout>
          </c:layout>
        </c:title>
        <c:numFmt formatCode="General" sourceLinked="1"/>
        <c:tickLblPos val="nextTo"/>
        <c:txPr>
          <a:bodyPr/>
          <a:lstStyle/>
          <a:p>
            <a:pPr>
              <a:defRPr lang="en-IN"/>
            </a:pPr>
            <a:endParaRPr lang="en-US"/>
          </a:p>
        </c:txPr>
        <c:crossAx val="108731008"/>
        <c:crosses val="autoZero"/>
        <c:crossBetween val="midCat"/>
        <c:minorUnit val="1"/>
      </c:valAx>
    </c:plotArea>
    <c:legend>
      <c:legendPos val="r"/>
      <c:txPr>
        <a:bodyPr/>
        <a:lstStyle/>
        <a:p>
          <a:pPr>
            <a:defRPr lang="en-IN"/>
          </a:pPr>
          <a:endParaRPr lang="en-US"/>
        </a:p>
      </c:txPr>
    </c:legend>
    <c:plotVisOnly val="1"/>
    <c:dispBlanksAs val="gap"/>
  </c:chart>
  <c:printSettings>
    <c:headerFooter/>
    <c:pageMargins b="0.75000000000000733" l="0.70000000000000062" r="0.70000000000000062" t="0.75000000000000733"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1715731479510986E-2"/>
          <c:y val="7.9894134459052274E-2"/>
          <c:w val="0.85070440780538703"/>
          <c:h val="0.86628115034008679"/>
        </c:manualLayout>
      </c:layout>
      <c:scatterChart>
        <c:scatterStyle val="smoothMarker"/>
        <c:ser>
          <c:idx val="0"/>
          <c:order val="0"/>
          <c:tx>
            <c:strRef>
              <c:f>'FA Grading'!$R$12</c:f>
              <c:strCache>
                <c:ptCount val="1"/>
                <c:pt idx="0">
                  <c:v>LB</c:v>
                </c:pt>
              </c:strCache>
            </c:strRef>
          </c:tx>
          <c:marker>
            <c:symbol val="none"/>
          </c:marker>
          <c:xVal>
            <c:numRef>
              <c:f>'FA Grading'!$H$13:$H$19</c:f>
              <c:numCache>
                <c:formatCode>General</c:formatCode>
                <c:ptCount val="7"/>
                <c:pt idx="0">
                  <c:v>10</c:v>
                </c:pt>
                <c:pt idx="1">
                  <c:v>4.75</c:v>
                </c:pt>
                <c:pt idx="2">
                  <c:v>2.36</c:v>
                </c:pt>
                <c:pt idx="3">
                  <c:v>1.18</c:v>
                </c:pt>
                <c:pt idx="4">
                  <c:v>0.6</c:v>
                </c:pt>
                <c:pt idx="5">
                  <c:v>0.3</c:v>
                </c:pt>
                <c:pt idx="6">
                  <c:v>0.15</c:v>
                </c:pt>
              </c:numCache>
            </c:numRef>
          </c:xVal>
          <c:yVal>
            <c:numRef>
              <c:f>'FA Grading'!$R$13:$R$19</c:f>
              <c:numCache>
                <c:formatCode>General</c:formatCode>
                <c:ptCount val="7"/>
                <c:pt idx="0">
                  <c:v>100</c:v>
                </c:pt>
                <c:pt idx="1">
                  <c:v>95</c:v>
                </c:pt>
                <c:pt idx="2">
                  <c:v>95</c:v>
                </c:pt>
                <c:pt idx="3">
                  <c:v>90</c:v>
                </c:pt>
                <c:pt idx="4">
                  <c:v>80</c:v>
                </c:pt>
                <c:pt idx="5" formatCode="@">
                  <c:v>0</c:v>
                </c:pt>
                <c:pt idx="6">
                  <c:v>0</c:v>
                </c:pt>
              </c:numCache>
            </c:numRef>
          </c:yVal>
          <c:smooth val="1"/>
        </c:ser>
        <c:ser>
          <c:idx val="1"/>
          <c:order val="1"/>
          <c:tx>
            <c:strRef>
              <c:f>'FA Grading'!$S$12</c:f>
              <c:strCache>
                <c:ptCount val="1"/>
                <c:pt idx="0">
                  <c:v>UB</c:v>
                </c:pt>
              </c:strCache>
            </c:strRef>
          </c:tx>
          <c:marker>
            <c:symbol val="none"/>
          </c:marker>
          <c:xVal>
            <c:numRef>
              <c:f>'FA Grading'!$H$13:$H$19</c:f>
              <c:numCache>
                <c:formatCode>General</c:formatCode>
                <c:ptCount val="7"/>
                <c:pt idx="0">
                  <c:v>10</c:v>
                </c:pt>
                <c:pt idx="1">
                  <c:v>4.75</c:v>
                </c:pt>
                <c:pt idx="2">
                  <c:v>2.36</c:v>
                </c:pt>
                <c:pt idx="3">
                  <c:v>1.18</c:v>
                </c:pt>
                <c:pt idx="4">
                  <c:v>0.6</c:v>
                </c:pt>
                <c:pt idx="5">
                  <c:v>0.3</c:v>
                </c:pt>
                <c:pt idx="6">
                  <c:v>0.15</c:v>
                </c:pt>
              </c:numCache>
            </c:numRef>
          </c:xVal>
          <c:yVal>
            <c:numRef>
              <c:f>'FA Grading'!$S$13:$S$19</c:f>
              <c:numCache>
                <c:formatCode>General</c:formatCode>
                <c:ptCount val="7"/>
                <c:pt idx="0">
                  <c:v>100</c:v>
                </c:pt>
                <c:pt idx="1">
                  <c:v>100</c:v>
                </c:pt>
                <c:pt idx="2">
                  <c:v>100</c:v>
                </c:pt>
                <c:pt idx="3">
                  <c:v>100</c:v>
                </c:pt>
                <c:pt idx="4">
                  <c:v>100</c:v>
                </c:pt>
                <c:pt idx="5">
                  <c:v>50</c:v>
                </c:pt>
                <c:pt idx="6">
                  <c:v>15</c:v>
                </c:pt>
              </c:numCache>
            </c:numRef>
          </c:yVal>
          <c:smooth val="1"/>
        </c:ser>
        <c:ser>
          <c:idx val="2"/>
          <c:order val="2"/>
          <c:tx>
            <c:v>Test Result</c:v>
          </c:tx>
          <c:marker>
            <c:symbol val="none"/>
          </c:marker>
          <c:xVal>
            <c:numRef>
              <c:f>'FA Grading'!$C$11:$C$17</c:f>
              <c:numCache>
                <c:formatCode>General</c:formatCode>
                <c:ptCount val="7"/>
                <c:pt idx="0">
                  <c:v>10</c:v>
                </c:pt>
                <c:pt idx="1">
                  <c:v>4.75</c:v>
                </c:pt>
                <c:pt idx="2">
                  <c:v>2.36</c:v>
                </c:pt>
                <c:pt idx="3">
                  <c:v>1.18</c:v>
                </c:pt>
                <c:pt idx="4">
                  <c:v>0.6</c:v>
                </c:pt>
                <c:pt idx="5">
                  <c:v>0.3</c:v>
                </c:pt>
                <c:pt idx="6">
                  <c:v>0.15</c:v>
                </c:pt>
              </c:numCache>
            </c:numRef>
          </c:xVal>
          <c:yVal>
            <c:numRef>
              <c:f>'FA Grading'!$D$11:$D$17</c:f>
              <c:numCache>
                <c:formatCode>0.00</c:formatCode>
                <c:ptCount val="7"/>
                <c:pt idx="0">
                  <c:v>100</c:v>
                </c:pt>
                <c:pt idx="1">
                  <c:v>100</c:v>
                </c:pt>
                <c:pt idx="2">
                  <c:v>76.666666666666671</c:v>
                </c:pt>
                <c:pt idx="3">
                  <c:v>53.333333333333336</c:v>
                </c:pt>
                <c:pt idx="4">
                  <c:v>30.000000000000014</c:v>
                </c:pt>
                <c:pt idx="5">
                  <c:v>6.6666666666666714</c:v>
                </c:pt>
                <c:pt idx="6">
                  <c:v>0</c:v>
                </c:pt>
              </c:numCache>
            </c:numRef>
          </c:yVal>
          <c:smooth val="1"/>
        </c:ser>
        <c:axId val="108783488"/>
        <c:axId val="108822528"/>
      </c:scatterChart>
      <c:valAx>
        <c:axId val="108783488"/>
        <c:scaling>
          <c:logBase val="10"/>
          <c:orientation val="minMax"/>
          <c:max val="12"/>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2960341588966128"/>
              <c:y val="0.94919871901696051"/>
            </c:manualLayout>
          </c:layout>
        </c:title>
        <c:numFmt formatCode="General" sourceLinked="1"/>
        <c:tickLblPos val="nextTo"/>
        <c:txPr>
          <a:bodyPr/>
          <a:lstStyle/>
          <a:p>
            <a:pPr>
              <a:defRPr lang="en-IN"/>
            </a:pPr>
            <a:endParaRPr lang="en-US"/>
          </a:p>
        </c:txPr>
        <c:crossAx val="108822528"/>
        <c:crosses val="autoZero"/>
        <c:crossBetween val="midCat"/>
      </c:valAx>
      <c:valAx>
        <c:axId val="108822528"/>
        <c:scaling>
          <c:orientation val="minMax"/>
          <c:max val="100"/>
          <c:min val="0"/>
        </c:scaling>
        <c:axPos val="l"/>
        <c:majorGridlines/>
        <c:minorGridlines/>
        <c:title>
          <c:tx>
            <c:rich>
              <a:bodyPr/>
              <a:lstStyle/>
              <a:p>
                <a:pPr>
                  <a:defRPr lang="en-IN"/>
                </a:pPr>
                <a:r>
                  <a:rPr lang="en-US"/>
                  <a:t>Cumulative</a:t>
                </a:r>
                <a:r>
                  <a:rPr lang="en-US" baseline="0"/>
                  <a:t> %passing for each sieve </a:t>
                </a:r>
                <a:endParaRPr lang="en-US"/>
              </a:p>
            </c:rich>
          </c:tx>
          <c:layout>
            <c:manualLayout>
              <c:xMode val="edge"/>
              <c:yMode val="edge"/>
              <c:x val="2.2988910170012616E-2"/>
              <c:y val="0.18739638611309681"/>
            </c:manualLayout>
          </c:layout>
        </c:title>
        <c:numFmt formatCode="General" sourceLinked="1"/>
        <c:tickLblPos val="nextTo"/>
        <c:txPr>
          <a:bodyPr/>
          <a:lstStyle/>
          <a:p>
            <a:pPr>
              <a:defRPr lang="en-IN"/>
            </a:pPr>
            <a:endParaRPr lang="en-US"/>
          </a:p>
        </c:txPr>
        <c:crossAx val="108783488"/>
        <c:crosses val="autoZero"/>
        <c:crossBetween val="midCat"/>
        <c:minorUnit val="1"/>
      </c:valAx>
    </c:plotArea>
    <c:legend>
      <c:legendPos val="r"/>
      <c:txPr>
        <a:bodyPr/>
        <a:lstStyle/>
        <a:p>
          <a:pPr>
            <a:defRPr lang="en-IN"/>
          </a:pPr>
          <a:endParaRPr lang="en-US"/>
        </a:p>
      </c:txPr>
    </c:legend>
    <c:plotVisOnly val="1"/>
    <c:dispBlanksAs val="gap"/>
  </c:chart>
  <c:printSettings>
    <c:headerFooter/>
    <c:pageMargins b="0.75000000000000755" l="0.70000000000000062" r="0.70000000000000062" t="0.7500000000000075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8.4488655396266224E-2"/>
          <c:y val="9.5085330197248727E-2"/>
          <c:w val="0.84458346583898336"/>
          <c:h val="0.80565312743173689"/>
        </c:manualLayout>
      </c:layout>
      <c:scatterChart>
        <c:scatterStyle val="smoothMarker"/>
        <c:ser>
          <c:idx val="0"/>
          <c:order val="0"/>
          <c:tx>
            <c:v>LB</c:v>
          </c:tx>
          <c:marker>
            <c:symbol val="none"/>
          </c:marker>
          <c:xVal>
            <c:numRef>
              <c:f>'CA Grading'!$H$9:$H$12</c:f>
              <c:numCache>
                <c:formatCode>General</c:formatCode>
                <c:ptCount val="4"/>
                <c:pt idx="0">
                  <c:v>80</c:v>
                </c:pt>
                <c:pt idx="1">
                  <c:v>40</c:v>
                </c:pt>
                <c:pt idx="2">
                  <c:v>20</c:v>
                </c:pt>
                <c:pt idx="3">
                  <c:v>10</c:v>
                </c:pt>
              </c:numCache>
            </c:numRef>
          </c:xVal>
          <c:yVal>
            <c:numRef>
              <c:f>'CA Grading'!$I$9:$I$12</c:f>
              <c:numCache>
                <c:formatCode>General</c:formatCode>
                <c:ptCount val="4"/>
                <c:pt idx="0">
                  <c:v>100</c:v>
                </c:pt>
                <c:pt idx="1">
                  <c:v>85</c:v>
                </c:pt>
                <c:pt idx="2">
                  <c:v>0</c:v>
                </c:pt>
                <c:pt idx="3">
                  <c:v>0</c:v>
                </c:pt>
              </c:numCache>
            </c:numRef>
          </c:yVal>
          <c:smooth val="1"/>
        </c:ser>
        <c:ser>
          <c:idx val="1"/>
          <c:order val="1"/>
          <c:tx>
            <c:strRef>
              <c:f>'CA Grading'!$J$8</c:f>
              <c:strCache>
                <c:ptCount val="1"/>
                <c:pt idx="0">
                  <c:v>UB</c:v>
                </c:pt>
              </c:strCache>
            </c:strRef>
          </c:tx>
          <c:marker>
            <c:symbol val="none"/>
          </c:marker>
          <c:xVal>
            <c:numRef>
              <c:f>'CA Grading'!$H$9:$H$12</c:f>
              <c:numCache>
                <c:formatCode>General</c:formatCode>
                <c:ptCount val="4"/>
                <c:pt idx="0">
                  <c:v>80</c:v>
                </c:pt>
                <c:pt idx="1">
                  <c:v>40</c:v>
                </c:pt>
                <c:pt idx="2">
                  <c:v>20</c:v>
                </c:pt>
                <c:pt idx="3">
                  <c:v>10</c:v>
                </c:pt>
              </c:numCache>
            </c:numRef>
          </c:xVal>
          <c:yVal>
            <c:numRef>
              <c:f>'CA Grading'!$J$9:$J$12</c:f>
              <c:numCache>
                <c:formatCode>General</c:formatCode>
                <c:ptCount val="4"/>
                <c:pt idx="0">
                  <c:v>100</c:v>
                </c:pt>
                <c:pt idx="1">
                  <c:v>100</c:v>
                </c:pt>
                <c:pt idx="2">
                  <c:v>20</c:v>
                </c:pt>
                <c:pt idx="3">
                  <c:v>5</c:v>
                </c:pt>
              </c:numCache>
            </c:numRef>
          </c:yVal>
          <c:smooth val="1"/>
        </c:ser>
        <c:ser>
          <c:idx val="2"/>
          <c:order val="2"/>
          <c:tx>
            <c:v>Test</c:v>
          </c:tx>
          <c:marker>
            <c:symbol val="none"/>
          </c:marker>
          <c:xVal>
            <c:numRef>
              <c:f>'CA Grading'!$H$9:$H$14</c:f>
              <c:numCache>
                <c:formatCode>General</c:formatCode>
                <c:ptCount val="6"/>
                <c:pt idx="0">
                  <c:v>80</c:v>
                </c:pt>
                <c:pt idx="1">
                  <c:v>40</c:v>
                </c:pt>
                <c:pt idx="2">
                  <c:v>20</c:v>
                </c:pt>
                <c:pt idx="3">
                  <c:v>10</c:v>
                </c:pt>
                <c:pt idx="4">
                  <c:v>4.75</c:v>
                </c:pt>
                <c:pt idx="5">
                  <c:v>2.36</c:v>
                </c:pt>
              </c:numCache>
            </c:numRef>
          </c:xVal>
          <c:yVal>
            <c:numRef>
              <c:f>'CA Grading'!$D$9:$D$14</c:f>
              <c:numCache>
                <c:formatCode>0.00</c:formatCode>
                <c:ptCount val="6"/>
                <c:pt idx="0">
                  <c:v>100</c:v>
                </c:pt>
                <c:pt idx="1">
                  <c:v>100</c:v>
                </c:pt>
                <c:pt idx="2">
                  <c:v>100</c:v>
                </c:pt>
                <c:pt idx="3">
                  <c:v>21.428571428571431</c:v>
                </c:pt>
                <c:pt idx="4">
                  <c:v>0</c:v>
                </c:pt>
                <c:pt idx="5">
                  <c:v>0</c:v>
                </c:pt>
              </c:numCache>
            </c:numRef>
          </c:yVal>
          <c:smooth val="1"/>
        </c:ser>
        <c:axId val="108664320"/>
        <c:axId val="108666240"/>
      </c:scatterChart>
      <c:valAx>
        <c:axId val="108664320"/>
        <c:scaling>
          <c:logBase val="10"/>
          <c:orientation val="minMax"/>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0241347381047143"/>
              <c:y val="0.91588997729957444"/>
            </c:manualLayout>
          </c:layout>
        </c:title>
        <c:numFmt formatCode="General" sourceLinked="1"/>
        <c:tickLblPos val="nextTo"/>
        <c:txPr>
          <a:bodyPr/>
          <a:lstStyle/>
          <a:p>
            <a:pPr>
              <a:defRPr lang="en-IN"/>
            </a:pPr>
            <a:endParaRPr lang="en-US"/>
          </a:p>
        </c:txPr>
        <c:crossAx val="108666240"/>
        <c:crosses val="autoZero"/>
        <c:crossBetween val="midCat"/>
      </c:valAx>
      <c:valAx>
        <c:axId val="108666240"/>
        <c:scaling>
          <c:orientation val="minMax"/>
          <c:max val="100"/>
          <c:min val="0"/>
        </c:scaling>
        <c:axPos val="l"/>
        <c:majorGridlines/>
        <c:minorGridlines/>
        <c:title>
          <c:tx>
            <c:rich>
              <a:bodyPr/>
              <a:lstStyle/>
              <a:p>
                <a:pPr>
                  <a:defRPr lang="en-IN"/>
                </a:pPr>
                <a:r>
                  <a:rPr lang="en-US"/>
                  <a:t>Cumulative Percentage Passing</a:t>
                </a:r>
                <a:r>
                  <a:rPr lang="en-US" baseline="0"/>
                  <a:t> for each sieve</a:t>
                </a:r>
                <a:r>
                  <a:rPr lang="en-US"/>
                  <a:t> </a:t>
                </a:r>
              </a:p>
            </c:rich>
          </c:tx>
          <c:layout>
            <c:manualLayout>
              <c:xMode val="edge"/>
              <c:yMode val="edge"/>
              <c:x val="2.2816707264110427E-2"/>
              <c:y val="0.10234349695649746"/>
            </c:manualLayout>
          </c:layout>
        </c:title>
        <c:numFmt formatCode="General" sourceLinked="1"/>
        <c:tickLblPos val="nextTo"/>
        <c:txPr>
          <a:bodyPr/>
          <a:lstStyle/>
          <a:p>
            <a:pPr>
              <a:defRPr lang="en-IN"/>
            </a:pPr>
            <a:endParaRPr lang="en-US"/>
          </a:p>
        </c:txPr>
        <c:crossAx val="108664320"/>
        <c:crosses val="autoZero"/>
        <c:crossBetween val="midCat"/>
        <c:minorUnit val="1"/>
      </c:valAx>
    </c:plotArea>
    <c:legend>
      <c:legendPos val="r"/>
      <c:layout>
        <c:manualLayout>
          <c:xMode val="edge"/>
          <c:yMode val="edge"/>
          <c:x val="0.7797561791262575"/>
          <c:y val="0.46486960406545141"/>
          <c:w val="9.9862215156332798E-2"/>
          <c:h val="0.1923714189981563"/>
        </c:manualLayout>
      </c:layout>
      <c:txPr>
        <a:bodyPr/>
        <a:lstStyle/>
        <a:p>
          <a:pPr>
            <a:defRPr lang="en-IN"/>
          </a:pPr>
          <a:endParaRPr lang="en-US"/>
        </a:p>
      </c:txPr>
    </c:legend>
    <c:plotVisOnly val="1"/>
    <c:dispBlanksAs val="gap"/>
  </c:chart>
  <c:printSettings>
    <c:headerFooter/>
    <c:pageMargins b="0.75000000000000844" l="0.70000000000000062" r="0.70000000000000062" t="0.75000000000000844"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8.4488655396266224E-2"/>
          <c:y val="9.5085330197248727E-2"/>
          <c:w val="0.84458346583898336"/>
          <c:h val="0.80565312743173689"/>
        </c:manualLayout>
      </c:layout>
      <c:scatterChart>
        <c:scatterStyle val="smoothMarker"/>
        <c:ser>
          <c:idx val="0"/>
          <c:order val="0"/>
          <c:tx>
            <c:strRef>
              <c:f>'CA Grading'!$O$8</c:f>
              <c:strCache>
                <c:ptCount val="1"/>
                <c:pt idx="0">
                  <c:v>LB</c:v>
                </c:pt>
              </c:strCache>
            </c:strRef>
          </c:tx>
          <c:marker>
            <c:symbol val="none"/>
          </c:marker>
          <c:xVal>
            <c:numRef>
              <c:f>'CA Grading'!$H$12:$H$14</c:f>
              <c:numCache>
                <c:formatCode>General</c:formatCode>
                <c:ptCount val="3"/>
                <c:pt idx="0">
                  <c:v>10</c:v>
                </c:pt>
                <c:pt idx="1">
                  <c:v>4.75</c:v>
                </c:pt>
                <c:pt idx="2">
                  <c:v>2.36</c:v>
                </c:pt>
              </c:numCache>
            </c:numRef>
          </c:xVal>
          <c:yVal>
            <c:numRef>
              <c:f>'CA Grading'!$O$12:$O$14</c:f>
              <c:numCache>
                <c:formatCode>General</c:formatCode>
                <c:ptCount val="3"/>
                <c:pt idx="0">
                  <c:v>85</c:v>
                </c:pt>
                <c:pt idx="1">
                  <c:v>0</c:v>
                </c:pt>
                <c:pt idx="2">
                  <c:v>0</c:v>
                </c:pt>
              </c:numCache>
            </c:numRef>
          </c:yVal>
          <c:smooth val="1"/>
        </c:ser>
        <c:ser>
          <c:idx val="1"/>
          <c:order val="1"/>
          <c:tx>
            <c:strRef>
              <c:f>'CA Grading'!$P$8</c:f>
              <c:strCache>
                <c:ptCount val="1"/>
                <c:pt idx="0">
                  <c:v>UB</c:v>
                </c:pt>
              </c:strCache>
            </c:strRef>
          </c:tx>
          <c:marker>
            <c:symbol val="none"/>
          </c:marker>
          <c:xVal>
            <c:numRef>
              <c:f>'CA Grading'!$H$12:$H$14</c:f>
              <c:numCache>
                <c:formatCode>General</c:formatCode>
                <c:ptCount val="3"/>
                <c:pt idx="0">
                  <c:v>10</c:v>
                </c:pt>
                <c:pt idx="1">
                  <c:v>4.75</c:v>
                </c:pt>
                <c:pt idx="2">
                  <c:v>2.36</c:v>
                </c:pt>
              </c:numCache>
            </c:numRef>
          </c:xVal>
          <c:yVal>
            <c:numRef>
              <c:f>'CA Grading'!$P$12:$P$14</c:f>
              <c:numCache>
                <c:formatCode>General</c:formatCode>
                <c:ptCount val="3"/>
                <c:pt idx="0">
                  <c:v>100</c:v>
                </c:pt>
                <c:pt idx="1">
                  <c:v>20</c:v>
                </c:pt>
                <c:pt idx="2">
                  <c:v>5</c:v>
                </c:pt>
              </c:numCache>
            </c:numRef>
          </c:yVal>
          <c:smooth val="1"/>
        </c:ser>
        <c:ser>
          <c:idx val="2"/>
          <c:order val="2"/>
          <c:tx>
            <c:v>Test</c:v>
          </c:tx>
          <c:marker>
            <c:symbol val="none"/>
          </c:marker>
          <c:xVal>
            <c:numRef>
              <c:f>'CA Grading'!$H$9:$H$14</c:f>
              <c:numCache>
                <c:formatCode>General</c:formatCode>
                <c:ptCount val="6"/>
                <c:pt idx="0">
                  <c:v>80</c:v>
                </c:pt>
                <c:pt idx="1">
                  <c:v>40</c:v>
                </c:pt>
                <c:pt idx="2">
                  <c:v>20</c:v>
                </c:pt>
                <c:pt idx="3">
                  <c:v>10</c:v>
                </c:pt>
                <c:pt idx="4">
                  <c:v>4.75</c:v>
                </c:pt>
                <c:pt idx="5">
                  <c:v>2.36</c:v>
                </c:pt>
              </c:numCache>
            </c:numRef>
          </c:xVal>
          <c:yVal>
            <c:numRef>
              <c:f>'CA Grading'!$D$9:$D$14</c:f>
              <c:numCache>
                <c:formatCode>0.00</c:formatCode>
                <c:ptCount val="6"/>
                <c:pt idx="0">
                  <c:v>100</c:v>
                </c:pt>
                <c:pt idx="1">
                  <c:v>100</c:v>
                </c:pt>
                <c:pt idx="2">
                  <c:v>100</c:v>
                </c:pt>
                <c:pt idx="3">
                  <c:v>21.428571428571431</c:v>
                </c:pt>
                <c:pt idx="4">
                  <c:v>0</c:v>
                </c:pt>
                <c:pt idx="5">
                  <c:v>0</c:v>
                </c:pt>
              </c:numCache>
            </c:numRef>
          </c:yVal>
          <c:smooth val="1"/>
        </c:ser>
        <c:axId val="108708608"/>
        <c:axId val="108710528"/>
      </c:scatterChart>
      <c:valAx>
        <c:axId val="108708608"/>
        <c:scaling>
          <c:logBase val="10"/>
          <c:orientation val="minMax"/>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0241347381047166"/>
              <c:y val="0.91588997729957489"/>
            </c:manualLayout>
          </c:layout>
        </c:title>
        <c:numFmt formatCode="General" sourceLinked="1"/>
        <c:tickLblPos val="nextTo"/>
        <c:txPr>
          <a:bodyPr/>
          <a:lstStyle/>
          <a:p>
            <a:pPr>
              <a:defRPr lang="en-IN"/>
            </a:pPr>
            <a:endParaRPr lang="en-US"/>
          </a:p>
        </c:txPr>
        <c:crossAx val="108710528"/>
        <c:crosses val="autoZero"/>
        <c:crossBetween val="midCat"/>
      </c:valAx>
      <c:valAx>
        <c:axId val="108710528"/>
        <c:scaling>
          <c:orientation val="minMax"/>
          <c:max val="100"/>
          <c:min val="0"/>
        </c:scaling>
        <c:axPos val="l"/>
        <c:majorGridlines/>
        <c:minorGridlines/>
        <c:title>
          <c:tx>
            <c:rich>
              <a:bodyPr/>
              <a:lstStyle/>
              <a:p>
                <a:pPr>
                  <a:defRPr lang="en-IN"/>
                </a:pPr>
                <a:r>
                  <a:rPr lang="en-US"/>
                  <a:t>Cumulative Percentage Passing</a:t>
                </a:r>
                <a:r>
                  <a:rPr lang="en-US" baseline="0"/>
                  <a:t> for each sieve</a:t>
                </a:r>
                <a:r>
                  <a:rPr lang="en-US"/>
                  <a:t> </a:t>
                </a:r>
              </a:p>
            </c:rich>
          </c:tx>
          <c:layout>
            <c:manualLayout>
              <c:xMode val="edge"/>
              <c:yMode val="edge"/>
              <c:x val="2.2816707264110444E-2"/>
              <c:y val="0.10234349695649746"/>
            </c:manualLayout>
          </c:layout>
        </c:title>
        <c:numFmt formatCode="General" sourceLinked="1"/>
        <c:tickLblPos val="nextTo"/>
        <c:txPr>
          <a:bodyPr/>
          <a:lstStyle/>
          <a:p>
            <a:pPr>
              <a:defRPr lang="en-IN"/>
            </a:pPr>
            <a:endParaRPr lang="en-US"/>
          </a:p>
        </c:txPr>
        <c:crossAx val="108708608"/>
        <c:crosses val="autoZero"/>
        <c:crossBetween val="midCat"/>
        <c:minorUnit val="1"/>
      </c:valAx>
    </c:plotArea>
    <c:legend>
      <c:legendPos val="r"/>
      <c:layout>
        <c:manualLayout>
          <c:xMode val="edge"/>
          <c:yMode val="edge"/>
          <c:x val="0.8637898203901041"/>
          <c:y val="0.44713910761154829"/>
          <c:w val="8.7973856209150311E-2"/>
          <c:h val="0.19237141899815624"/>
        </c:manualLayout>
      </c:layout>
      <c:txPr>
        <a:bodyPr/>
        <a:lstStyle/>
        <a:p>
          <a:pPr>
            <a:defRPr lang="en-IN"/>
          </a:pPr>
          <a:endParaRPr lang="en-US"/>
        </a:p>
      </c:txPr>
    </c:legend>
    <c:plotVisOnly val="1"/>
    <c:dispBlanksAs val="gap"/>
  </c:chart>
  <c:printSettings>
    <c:headerFooter/>
    <c:pageMargins b="0.75000000000000866" l="0.70000000000000062" r="0.70000000000000062" t="0.75000000000000866"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8.4488655396266224E-2"/>
          <c:y val="9.5085330197248727E-2"/>
          <c:w val="0.84458346583898336"/>
          <c:h val="0.80565312743173689"/>
        </c:manualLayout>
      </c:layout>
      <c:scatterChart>
        <c:scatterStyle val="smoothMarker"/>
        <c:ser>
          <c:idx val="0"/>
          <c:order val="0"/>
          <c:tx>
            <c:strRef>
              <c:f>'CA Grading'!$L$8</c:f>
              <c:strCache>
                <c:ptCount val="1"/>
                <c:pt idx="0">
                  <c:v>LB</c:v>
                </c:pt>
              </c:strCache>
            </c:strRef>
          </c:tx>
          <c:marker>
            <c:symbol val="none"/>
          </c:marker>
          <c:xVal>
            <c:numRef>
              <c:f>'CA Grading'!$H$10:$H$13</c:f>
              <c:numCache>
                <c:formatCode>General</c:formatCode>
                <c:ptCount val="4"/>
                <c:pt idx="0">
                  <c:v>40</c:v>
                </c:pt>
                <c:pt idx="1">
                  <c:v>20</c:v>
                </c:pt>
                <c:pt idx="2">
                  <c:v>10</c:v>
                </c:pt>
                <c:pt idx="3">
                  <c:v>4.75</c:v>
                </c:pt>
              </c:numCache>
            </c:numRef>
          </c:xVal>
          <c:yVal>
            <c:numRef>
              <c:f>'CA Grading'!$L$10:$L$13</c:f>
              <c:numCache>
                <c:formatCode>General</c:formatCode>
                <c:ptCount val="4"/>
                <c:pt idx="0">
                  <c:v>100</c:v>
                </c:pt>
                <c:pt idx="1">
                  <c:v>85</c:v>
                </c:pt>
                <c:pt idx="2">
                  <c:v>0</c:v>
                </c:pt>
                <c:pt idx="3">
                  <c:v>0</c:v>
                </c:pt>
              </c:numCache>
            </c:numRef>
          </c:yVal>
          <c:smooth val="1"/>
        </c:ser>
        <c:ser>
          <c:idx val="1"/>
          <c:order val="1"/>
          <c:tx>
            <c:strRef>
              <c:f>'CA Grading'!$M$8</c:f>
              <c:strCache>
                <c:ptCount val="1"/>
                <c:pt idx="0">
                  <c:v>UB</c:v>
                </c:pt>
              </c:strCache>
            </c:strRef>
          </c:tx>
          <c:marker>
            <c:symbol val="none"/>
          </c:marker>
          <c:xVal>
            <c:numRef>
              <c:f>'CA Grading'!$H$10:$H$13</c:f>
              <c:numCache>
                <c:formatCode>General</c:formatCode>
                <c:ptCount val="4"/>
                <c:pt idx="0">
                  <c:v>40</c:v>
                </c:pt>
                <c:pt idx="1">
                  <c:v>20</c:v>
                </c:pt>
                <c:pt idx="2">
                  <c:v>10</c:v>
                </c:pt>
                <c:pt idx="3">
                  <c:v>4.75</c:v>
                </c:pt>
              </c:numCache>
            </c:numRef>
          </c:xVal>
          <c:yVal>
            <c:numRef>
              <c:f>'CA Grading'!$M$10:$M$13</c:f>
              <c:numCache>
                <c:formatCode>General</c:formatCode>
                <c:ptCount val="4"/>
                <c:pt idx="0">
                  <c:v>100</c:v>
                </c:pt>
                <c:pt idx="1">
                  <c:v>100</c:v>
                </c:pt>
                <c:pt idx="2">
                  <c:v>20</c:v>
                </c:pt>
                <c:pt idx="3">
                  <c:v>5</c:v>
                </c:pt>
              </c:numCache>
            </c:numRef>
          </c:yVal>
          <c:smooth val="1"/>
        </c:ser>
        <c:ser>
          <c:idx val="2"/>
          <c:order val="2"/>
          <c:tx>
            <c:v>Test</c:v>
          </c:tx>
          <c:marker>
            <c:symbol val="none"/>
          </c:marker>
          <c:xVal>
            <c:numRef>
              <c:f>'CA Grading'!$H$9:$H$14</c:f>
              <c:numCache>
                <c:formatCode>General</c:formatCode>
                <c:ptCount val="6"/>
                <c:pt idx="0">
                  <c:v>80</c:v>
                </c:pt>
                <c:pt idx="1">
                  <c:v>40</c:v>
                </c:pt>
                <c:pt idx="2">
                  <c:v>20</c:v>
                </c:pt>
                <c:pt idx="3">
                  <c:v>10</c:v>
                </c:pt>
                <c:pt idx="4">
                  <c:v>4.75</c:v>
                </c:pt>
                <c:pt idx="5">
                  <c:v>2.36</c:v>
                </c:pt>
              </c:numCache>
            </c:numRef>
          </c:xVal>
          <c:yVal>
            <c:numRef>
              <c:f>'CA Grading'!$D$9:$D$14</c:f>
              <c:numCache>
                <c:formatCode>0.00</c:formatCode>
                <c:ptCount val="6"/>
                <c:pt idx="0">
                  <c:v>100</c:v>
                </c:pt>
                <c:pt idx="1">
                  <c:v>100</c:v>
                </c:pt>
                <c:pt idx="2">
                  <c:v>100</c:v>
                </c:pt>
                <c:pt idx="3">
                  <c:v>21.428571428571431</c:v>
                </c:pt>
                <c:pt idx="4">
                  <c:v>0</c:v>
                </c:pt>
                <c:pt idx="5">
                  <c:v>0</c:v>
                </c:pt>
              </c:numCache>
            </c:numRef>
          </c:yVal>
          <c:smooth val="1"/>
        </c:ser>
        <c:axId val="108941312"/>
        <c:axId val="108943232"/>
      </c:scatterChart>
      <c:valAx>
        <c:axId val="108941312"/>
        <c:scaling>
          <c:logBase val="10"/>
          <c:orientation val="minMax"/>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0241347381047188"/>
              <c:y val="0.91588997729957533"/>
            </c:manualLayout>
          </c:layout>
        </c:title>
        <c:numFmt formatCode="General" sourceLinked="1"/>
        <c:tickLblPos val="nextTo"/>
        <c:txPr>
          <a:bodyPr/>
          <a:lstStyle/>
          <a:p>
            <a:pPr>
              <a:defRPr lang="en-IN"/>
            </a:pPr>
            <a:endParaRPr lang="en-US"/>
          </a:p>
        </c:txPr>
        <c:crossAx val="108943232"/>
        <c:crosses val="autoZero"/>
        <c:crossBetween val="midCat"/>
      </c:valAx>
      <c:valAx>
        <c:axId val="108943232"/>
        <c:scaling>
          <c:orientation val="minMax"/>
          <c:max val="100"/>
          <c:min val="0"/>
        </c:scaling>
        <c:axPos val="l"/>
        <c:majorGridlines/>
        <c:minorGridlines/>
        <c:title>
          <c:tx>
            <c:rich>
              <a:bodyPr/>
              <a:lstStyle/>
              <a:p>
                <a:pPr>
                  <a:defRPr lang="en-IN"/>
                </a:pPr>
                <a:r>
                  <a:rPr lang="en-US"/>
                  <a:t>Cumulative Percentage Passing</a:t>
                </a:r>
                <a:r>
                  <a:rPr lang="en-US" baseline="0"/>
                  <a:t> for each sieve</a:t>
                </a:r>
                <a:r>
                  <a:rPr lang="en-US"/>
                  <a:t> </a:t>
                </a:r>
              </a:p>
            </c:rich>
          </c:tx>
          <c:layout>
            <c:manualLayout>
              <c:xMode val="edge"/>
              <c:yMode val="edge"/>
              <c:x val="2.2816707264110454E-2"/>
              <c:y val="0.10234349695649746"/>
            </c:manualLayout>
          </c:layout>
        </c:title>
        <c:numFmt formatCode="General" sourceLinked="1"/>
        <c:tickLblPos val="nextTo"/>
        <c:txPr>
          <a:bodyPr/>
          <a:lstStyle/>
          <a:p>
            <a:pPr>
              <a:defRPr lang="en-IN"/>
            </a:pPr>
            <a:endParaRPr lang="en-US"/>
          </a:p>
        </c:txPr>
        <c:crossAx val="108941312"/>
        <c:crosses val="autoZero"/>
        <c:crossBetween val="midCat"/>
        <c:minorUnit val="1"/>
      </c:valAx>
    </c:plotArea>
    <c:legend>
      <c:legendPos val="r"/>
      <c:layout>
        <c:manualLayout>
          <c:xMode val="edge"/>
          <c:yMode val="edge"/>
          <c:x val="0.86378982039010455"/>
          <c:y val="0.44713910761154829"/>
          <c:w val="8.7973856209150311E-2"/>
          <c:h val="0.19237141899815616"/>
        </c:manualLayout>
      </c:layout>
      <c:txPr>
        <a:bodyPr/>
        <a:lstStyle/>
        <a:p>
          <a:pPr>
            <a:defRPr lang="en-IN"/>
          </a:pPr>
          <a:endParaRPr lang="en-US"/>
        </a:p>
      </c:txPr>
    </c:legend>
    <c:plotVisOnly val="1"/>
    <c:dispBlanksAs val="gap"/>
  </c:chart>
  <c:printSettings>
    <c:headerFooter/>
    <c:pageMargins b="0.75000000000000888" l="0.70000000000000062" r="0.70000000000000062" t="0.75000000000000888" header="0.30000000000000032" footer="0.30000000000000032"/>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lang val="en-US"/>
  <c:style val="4"/>
  <c:chart>
    <c:autoTitleDeleted val="1"/>
    <c:plotArea>
      <c:layout>
        <c:manualLayout>
          <c:layoutTarget val="inner"/>
          <c:xMode val="edge"/>
          <c:yMode val="edge"/>
          <c:x val="0.16241142161269101"/>
          <c:y val="6.0103378505351177E-2"/>
          <c:w val="0.69889855873278994"/>
          <c:h val="0.82106585733388104"/>
        </c:manualLayout>
      </c:layout>
      <c:scatterChart>
        <c:scatterStyle val="smoothMarker"/>
        <c:ser>
          <c:idx val="0"/>
          <c:order val="0"/>
          <c:tx>
            <c:strRef>
              <c:f>'Agg. Proportn'!$AD$17</c:f>
              <c:strCache>
                <c:ptCount val="1"/>
                <c:pt idx="0">
                  <c:v>% VOIDS</c:v>
                </c:pt>
              </c:strCache>
            </c:strRef>
          </c:tx>
          <c:marker>
            <c:symbol val="none"/>
          </c:marker>
          <c:xVal>
            <c:numRef>
              <c:f>('Agg. Proportn'!$AC$20,'Agg. Proportn'!$AC$22,'Agg. Proportn'!$AC$24,'Agg. Proportn'!$AC$26,'Agg. Proportn'!$AC$28,'Agg. Proportn'!$AC$30,'Agg. Proportn'!$AC$32)</c:f>
              <c:numCache>
                <c:formatCode>0.000</c:formatCode>
                <c:ptCount val="7"/>
                <c:pt idx="0">
                  <c:v>0.25</c:v>
                </c:pt>
                <c:pt idx="1">
                  <c:v>0.42857142857142855</c:v>
                </c:pt>
                <c:pt idx="2">
                  <c:v>0.66666666666666663</c:v>
                </c:pt>
                <c:pt idx="3">
                  <c:v>1</c:v>
                </c:pt>
                <c:pt idx="4">
                  <c:v>1.5</c:v>
                </c:pt>
                <c:pt idx="5">
                  <c:v>2.3333333333333335</c:v>
                </c:pt>
                <c:pt idx="6">
                  <c:v>4</c:v>
                </c:pt>
              </c:numCache>
            </c:numRef>
          </c:xVal>
          <c:yVal>
            <c:numRef>
              <c:f>('Agg. Proportn'!$AD$20,'Agg. Proportn'!$AD$22,'Agg. Proportn'!$AD$24,'Agg. Proportn'!$AD$26,'Agg. Proportn'!$AD$28,'Agg. Proportn'!$AD$30,'Agg. Proportn'!$AD$32)</c:f>
              <c:numCache>
                <c:formatCode>0.00</c:formatCode>
                <c:ptCount val="7"/>
                <c:pt idx="0">
                  <c:v>25</c:v>
                </c:pt>
                <c:pt idx="1">
                  <c:v>24</c:v>
                </c:pt>
                <c:pt idx="2">
                  <c:v>23</c:v>
                </c:pt>
                <c:pt idx="3">
                  <c:v>22</c:v>
                </c:pt>
                <c:pt idx="4">
                  <c:v>23</c:v>
                </c:pt>
                <c:pt idx="5">
                  <c:v>24</c:v>
                </c:pt>
                <c:pt idx="6">
                  <c:v>26</c:v>
                </c:pt>
              </c:numCache>
            </c:numRef>
          </c:yVal>
          <c:smooth val="1"/>
        </c:ser>
        <c:axId val="109058688"/>
        <c:axId val="109081344"/>
      </c:scatterChart>
      <c:valAx>
        <c:axId val="109058688"/>
        <c:scaling>
          <c:orientation val="minMax"/>
        </c:scaling>
        <c:axPos val="b"/>
        <c:majorGridlines/>
        <c:minorGridlines>
          <c:spPr>
            <a:ln>
              <a:solidFill>
                <a:schemeClr val="accent4">
                  <a:lumMod val="20000"/>
                  <a:lumOff val="80000"/>
                </a:schemeClr>
              </a:solidFill>
            </a:ln>
          </c:spPr>
        </c:minorGridlines>
        <c:title>
          <c:tx>
            <c:rich>
              <a:bodyPr/>
              <a:lstStyle/>
              <a:p>
                <a:pPr>
                  <a:defRPr sz="1200"/>
                </a:pPr>
                <a:r>
                  <a:rPr lang="en-US" sz="1200"/>
                  <a:t>RATIO</a:t>
                </a:r>
                <a:r>
                  <a:rPr lang="en-US" sz="1200" baseline="0"/>
                  <a:t>(FA:CA)</a:t>
                </a:r>
                <a:endParaRPr lang="en-US" sz="1200"/>
              </a:p>
            </c:rich>
          </c:tx>
          <c:layout>
            <c:manualLayout>
              <c:xMode val="edge"/>
              <c:yMode val="edge"/>
              <c:x val="0.41577879080904862"/>
              <c:y val="0.93794004667673436"/>
            </c:manualLayout>
          </c:layout>
        </c:title>
        <c:numFmt formatCode="0.000" sourceLinked="1"/>
        <c:tickLblPos val="nextTo"/>
        <c:crossAx val="109081344"/>
        <c:crosses val="autoZero"/>
        <c:crossBetween val="midCat"/>
      </c:valAx>
      <c:valAx>
        <c:axId val="109081344"/>
        <c:scaling>
          <c:orientation val="minMax"/>
        </c:scaling>
        <c:axPos val="l"/>
        <c:majorGridlines/>
        <c:minorGridlines/>
        <c:title>
          <c:tx>
            <c:rich>
              <a:bodyPr/>
              <a:lstStyle/>
              <a:p>
                <a:pPr>
                  <a:defRPr sz="1200"/>
                </a:pPr>
                <a:r>
                  <a:rPr lang="en-US" sz="1200"/>
                  <a:t>%VOIDS</a:t>
                </a:r>
              </a:p>
            </c:rich>
          </c:tx>
        </c:title>
        <c:numFmt formatCode="0.00" sourceLinked="1"/>
        <c:tickLblPos val="nextTo"/>
        <c:spPr>
          <a:ln>
            <a:solidFill>
              <a:schemeClr val="accent3">
                <a:lumMod val="20000"/>
                <a:lumOff val="80000"/>
              </a:schemeClr>
            </a:solidFill>
          </a:ln>
        </c:spPr>
        <c:crossAx val="109058688"/>
        <c:crosses val="autoZero"/>
        <c:crossBetween val="midCat"/>
      </c:valAx>
    </c:plotArea>
    <c:legend>
      <c:legendPos val="r"/>
      <c:layout>
        <c:manualLayout>
          <c:xMode val="edge"/>
          <c:yMode val="edge"/>
          <c:x val="0.6725847953216374"/>
          <c:y val="0.76585361068597002"/>
          <c:w val="0.18428070175438596"/>
          <c:h val="7.7168250174116493E-2"/>
        </c:manualLayout>
      </c:layout>
      <c:txPr>
        <a:bodyPr/>
        <a:lstStyle/>
        <a:p>
          <a:pPr>
            <a:defRPr sz="1400"/>
          </a:pPr>
          <a:endParaRPr lang="en-US"/>
        </a:p>
      </c:txPr>
    </c:legend>
    <c:plotVisOnly val="1"/>
  </c:chart>
  <c:printSettings>
    <c:headerFooter/>
    <c:pageMargins b="0.75000000000000455" l="0.70000000000000062" r="0.70000000000000062" t="0.7500000000000045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8.4488655396266224E-2"/>
          <c:y val="9.5085330197248727E-2"/>
          <c:w val="0.84458346583898336"/>
          <c:h val="0.80565312743173689"/>
        </c:manualLayout>
      </c:layout>
      <c:scatterChart>
        <c:scatterStyle val="smoothMarker"/>
        <c:ser>
          <c:idx val="0"/>
          <c:order val="0"/>
          <c:tx>
            <c:strRef>
              <c:f>'FA Grading'!$I$12</c:f>
              <c:strCache>
                <c:ptCount val="1"/>
                <c:pt idx="0">
                  <c:v>LB</c:v>
                </c:pt>
              </c:strCache>
            </c:strRef>
          </c:tx>
          <c:marker>
            <c:symbol val="none"/>
          </c:marker>
          <c:xVal>
            <c:numRef>
              <c:f>'FA Grading'!$H$14:$H$22</c:f>
              <c:numCache>
                <c:formatCode>General</c:formatCode>
                <c:ptCount val="9"/>
                <c:pt idx="0">
                  <c:v>4.75</c:v>
                </c:pt>
                <c:pt idx="1">
                  <c:v>2.36</c:v>
                </c:pt>
                <c:pt idx="2">
                  <c:v>1.18</c:v>
                </c:pt>
                <c:pt idx="3">
                  <c:v>0.6</c:v>
                </c:pt>
                <c:pt idx="4">
                  <c:v>0.3</c:v>
                </c:pt>
                <c:pt idx="5">
                  <c:v>0.15</c:v>
                </c:pt>
              </c:numCache>
            </c:numRef>
          </c:xVal>
          <c:yVal>
            <c:numRef>
              <c:f>Abstract!$A$60:$A$65</c:f>
              <c:numCache>
                <c:formatCode>General</c:formatCode>
                <c:ptCount val="6"/>
                <c:pt idx="0">
                  <c:v>90</c:v>
                </c:pt>
                <c:pt idx="1">
                  <c:v>85</c:v>
                </c:pt>
                <c:pt idx="2">
                  <c:v>75</c:v>
                </c:pt>
                <c:pt idx="3">
                  <c:v>60</c:v>
                </c:pt>
                <c:pt idx="4">
                  <c:v>0</c:v>
                </c:pt>
                <c:pt idx="5">
                  <c:v>0</c:v>
                </c:pt>
              </c:numCache>
            </c:numRef>
          </c:yVal>
          <c:smooth val="1"/>
        </c:ser>
        <c:ser>
          <c:idx val="1"/>
          <c:order val="1"/>
          <c:tx>
            <c:strRef>
              <c:f>'FA Grading'!$J$12</c:f>
              <c:strCache>
                <c:ptCount val="1"/>
                <c:pt idx="0">
                  <c:v>UB</c:v>
                </c:pt>
              </c:strCache>
            </c:strRef>
          </c:tx>
          <c:marker>
            <c:symbol val="none"/>
          </c:marker>
          <c:xVal>
            <c:numRef>
              <c:f>'FA Grading'!$H$14:$H$22</c:f>
              <c:numCache>
                <c:formatCode>General</c:formatCode>
                <c:ptCount val="9"/>
                <c:pt idx="0">
                  <c:v>4.75</c:v>
                </c:pt>
                <c:pt idx="1">
                  <c:v>2.36</c:v>
                </c:pt>
                <c:pt idx="2">
                  <c:v>1.18</c:v>
                </c:pt>
                <c:pt idx="3">
                  <c:v>0.6</c:v>
                </c:pt>
                <c:pt idx="4">
                  <c:v>0.3</c:v>
                </c:pt>
                <c:pt idx="5">
                  <c:v>0.15</c:v>
                </c:pt>
              </c:numCache>
            </c:numRef>
          </c:xVal>
          <c:yVal>
            <c:numRef>
              <c:f>Abstract!$C$60:$C$65</c:f>
              <c:numCache>
                <c:formatCode>General</c:formatCode>
                <c:ptCount val="6"/>
                <c:pt idx="0">
                  <c:v>100</c:v>
                </c:pt>
                <c:pt idx="1">
                  <c:v>100</c:v>
                </c:pt>
                <c:pt idx="2">
                  <c:v>100</c:v>
                </c:pt>
                <c:pt idx="3">
                  <c:v>79</c:v>
                </c:pt>
                <c:pt idx="4">
                  <c:v>0</c:v>
                </c:pt>
                <c:pt idx="5">
                  <c:v>10</c:v>
                </c:pt>
              </c:numCache>
            </c:numRef>
          </c:yVal>
          <c:smooth val="1"/>
        </c:ser>
        <c:ser>
          <c:idx val="2"/>
          <c:order val="2"/>
          <c:tx>
            <c:v>Test Result</c:v>
          </c:tx>
          <c:marker>
            <c:symbol val="none"/>
          </c:marker>
          <c:xVal>
            <c:numRef>
              <c:f>'FA Grading'!$C$11:$C$17</c:f>
              <c:numCache>
                <c:formatCode>General</c:formatCode>
                <c:ptCount val="7"/>
                <c:pt idx="0">
                  <c:v>10</c:v>
                </c:pt>
                <c:pt idx="1">
                  <c:v>4.75</c:v>
                </c:pt>
                <c:pt idx="2">
                  <c:v>2.36</c:v>
                </c:pt>
                <c:pt idx="3">
                  <c:v>1.18</c:v>
                </c:pt>
                <c:pt idx="4">
                  <c:v>0.6</c:v>
                </c:pt>
                <c:pt idx="5">
                  <c:v>0.3</c:v>
                </c:pt>
                <c:pt idx="6">
                  <c:v>0.15</c:v>
                </c:pt>
              </c:numCache>
            </c:numRef>
          </c:xVal>
          <c:yVal>
            <c:numRef>
              <c:f>Abstract!$B$59:$B$65</c:f>
              <c:numCache>
                <c:formatCode>0.00</c:formatCode>
                <c:ptCount val="7"/>
                <c:pt idx="0">
                  <c:v>100</c:v>
                </c:pt>
                <c:pt idx="1">
                  <c:v>100</c:v>
                </c:pt>
                <c:pt idx="2">
                  <c:v>76.666666666666671</c:v>
                </c:pt>
                <c:pt idx="3">
                  <c:v>53.333333333333336</c:v>
                </c:pt>
                <c:pt idx="4">
                  <c:v>30.000000000000014</c:v>
                </c:pt>
                <c:pt idx="5">
                  <c:v>6.6666666666666714</c:v>
                </c:pt>
                <c:pt idx="6">
                  <c:v>0</c:v>
                </c:pt>
              </c:numCache>
            </c:numRef>
          </c:yVal>
          <c:smooth val="1"/>
        </c:ser>
        <c:axId val="108586496"/>
        <c:axId val="108588416"/>
      </c:scatterChart>
      <c:valAx>
        <c:axId val="108586496"/>
        <c:scaling>
          <c:logBase val="10"/>
          <c:orientation val="minMax"/>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0241347381047143"/>
              <c:y val="0.91588997729957444"/>
            </c:manualLayout>
          </c:layout>
        </c:title>
        <c:numFmt formatCode="General" sourceLinked="1"/>
        <c:tickLblPos val="nextTo"/>
        <c:txPr>
          <a:bodyPr/>
          <a:lstStyle/>
          <a:p>
            <a:pPr>
              <a:defRPr lang="en-IN"/>
            </a:pPr>
            <a:endParaRPr lang="en-US"/>
          </a:p>
        </c:txPr>
        <c:crossAx val="108588416"/>
        <c:crosses val="autoZero"/>
        <c:crossBetween val="midCat"/>
      </c:valAx>
      <c:valAx>
        <c:axId val="108588416"/>
        <c:scaling>
          <c:orientation val="minMax"/>
          <c:max val="100"/>
          <c:min val="0"/>
        </c:scaling>
        <c:axPos val="l"/>
        <c:majorGridlines/>
        <c:minorGridlines/>
        <c:title>
          <c:tx>
            <c:rich>
              <a:bodyPr/>
              <a:lstStyle/>
              <a:p>
                <a:pPr>
                  <a:defRPr lang="en-IN"/>
                </a:pPr>
                <a:r>
                  <a:rPr lang="en-US"/>
                  <a:t>Cumulative Percentage Passing</a:t>
                </a:r>
                <a:r>
                  <a:rPr lang="en-US" baseline="0"/>
                  <a:t> for each sieve</a:t>
                </a:r>
                <a:r>
                  <a:rPr lang="en-US"/>
                  <a:t> </a:t>
                </a:r>
              </a:p>
            </c:rich>
          </c:tx>
          <c:layout>
            <c:manualLayout>
              <c:xMode val="edge"/>
              <c:yMode val="edge"/>
              <c:x val="2.2816707264110427E-2"/>
              <c:y val="0.10234349695649746"/>
            </c:manualLayout>
          </c:layout>
        </c:title>
        <c:numFmt formatCode="General" sourceLinked="1"/>
        <c:tickLblPos val="nextTo"/>
        <c:txPr>
          <a:bodyPr/>
          <a:lstStyle/>
          <a:p>
            <a:pPr>
              <a:defRPr lang="en-IN"/>
            </a:pPr>
            <a:endParaRPr lang="en-US"/>
          </a:p>
        </c:txPr>
        <c:crossAx val="108586496"/>
        <c:crosses val="autoZero"/>
        <c:crossBetween val="midCat"/>
        <c:minorUnit val="1"/>
      </c:valAx>
    </c:plotArea>
    <c:legend>
      <c:legendPos val="r"/>
      <c:layout>
        <c:manualLayout>
          <c:xMode val="edge"/>
          <c:yMode val="edge"/>
          <c:x val="0.68966611884818163"/>
          <c:y val="0.45423122591005305"/>
          <c:w val="0.19198208332066621"/>
          <c:h val="0.19237141899815488"/>
        </c:manualLayout>
      </c:layout>
      <c:txPr>
        <a:bodyPr/>
        <a:lstStyle/>
        <a:p>
          <a:pPr>
            <a:defRPr lang="en-IN"/>
          </a:pPr>
          <a:endParaRPr lang="en-US"/>
        </a:p>
      </c:txPr>
    </c:legend>
    <c:plotVisOnly val="1"/>
    <c:dispBlanksAs val="gap"/>
  </c:chart>
  <c:printSettings>
    <c:headerFooter/>
    <c:pageMargins b="0.75000000000000844" l="0.70000000000000062" r="0.70000000000000062" t="0.75000000000000844" header="0.30000000000000032" footer="0.30000000000000032"/>
    <c:pageSetup orientation="portrait"/>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18367743402153491"/>
          <c:y val="4.0392597984075705E-2"/>
          <c:w val="0.76759322407533703"/>
          <c:h val="0.80565296984935586"/>
        </c:manualLayout>
      </c:layout>
      <c:scatterChart>
        <c:scatterStyle val="smoothMarker"/>
        <c:ser>
          <c:idx val="0"/>
          <c:order val="0"/>
          <c:tx>
            <c:v>LB</c:v>
          </c:tx>
          <c:marker>
            <c:symbol val="none"/>
          </c:marker>
          <c:xVal>
            <c:numRef>
              <c:f>'CA Grading'!$H$9:$H$12</c:f>
              <c:numCache>
                <c:formatCode>General</c:formatCode>
                <c:ptCount val="4"/>
                <c:pt idx="0">
                  <c:v>80</c:v>
                </c:pt>
                <c:pt idx="1">
                  <c:v>40</c:v>
                </c:pt>
                <c:pt idx="2">
                  <c:v>20</c:v>
                </c:pt>
                <c:pt idx="3">
                  <c:v>10</c:v>
                </c:pt>
              </c:numCache>
            </c:numRef>
          </c:xVal>
          <c:yVal>
            <c:numRef>
              <c:f>Abstract!$A$80:$A$83</c:f>
              <c:numCache>
                <c:formatCode>General</c:formatCode>
                <c:ptCount val="4"/>
                <c:pt idx="0">
                  <c:v>100</c:v>
                </c:pt>
                <c:pt idx="1">
                  <c:v>85</c:v>
                </c:pt>
                <c:pt idx="2">
                  <c:v>0</c:v>
                </c:pt>
                <c:pt idx="3">
                  <c:v>0</c:v>
                </c:pt>
              </c:numCache>
            </c:numRef>
          </c:yVal>
          <c:smooth val="1"/>
        </c:ser>
        <c:ser>
          <c:idx val="1"/>
          <c:order val="1"/>
          <c:tx>
            <c:strRef>
              <c:f>'CA Grading'!$J$8</c:f>
              <c:strCache>
                <c:ptCount val="1"/>
                <c:pt idx="0">
                  <c:v>UB</c:v>
                </c:pt>
              </c:strCache>
            </c:strRef>
          </c:tx>
          <c:marker>
            <c:symbol val="none"/>
          </c:marker>
          <c:xVal>
            <c:numRef>
              <c:f>'CA Grading'!$H$9:$H$12</c:f>
              <c:numCache>
                <c:formatCode>General</c:formatCode>
                <c:ptCount val="4"/>
                <c:pt idx="0">
                  <c:v>80</c:v>
                </c:pt>
                <c:pt idx="1">
                  <c:v>40</c:v>
                </c:pt>
                <c:pt idx="2">
                  <c:v>20</c:v>
                </c:pt>
                <c:pt idx="3">
                  <c:v>10</c:v>
                </c:pt>
              </c:numCache>
            </c:numRef>
          </c:xVal>
          <c:yVal>
            <c:numRef>
              <c:f>Abstract!$C$80:$C$83</c:f>
              <c:numCache>
                <c:formatCode>General</c:formatCode>
                <c:ptCount val="4"/>
                <c:pt idx="0">
                  <c:v>100</c:v>
                </c:pt>
                <c:pt idx="1">
                  <c:v>100</c:v>
                </c:pt>
                <c:pt idx="2">
                  <c:v>20</c:v>
                </c:pt>
                <c:pt idx="3">
                  <c:v>5</c:v>
                </c:pt>
              </c:numCache>
            </c:numRef>
          </c:yVal>
          <c:smooth val="1"/>
        </c:ser>
        <c:ser>
          <c:idx val="2"/>
          <c:order val="2"/>
          <c:tx>
            <c:v>Test</c:v>
          </c:tx>
          <c:marker>
            <c:symbol val="none"/>
          </c:marker>
          <c:xVal>
            <c:numRef>
              <c:f>'CA Grading'!$H$9:$H$14</c:f>
              <c:numCache>
                <c:formatCode>General</c:formatCode>
                <c:ptCount val="6"/>
                <c:pt idx="0">
                  <c:v>80</c:v>
                </c:pt>
                <c:pt idx="1">
                  <c:v>40</c:v>
                </c:pt>
                <c:pt idx="2">
                  <c:v>20</c:v>
                </c:pt>
                <c:pt idx="3">
                  <c:v>10</c:v>
                </c:pt>
                <c:pt idx="4">
                  <c:v>4.75</c:v>
                </c:pt>
                <c:pt idx="5">
                  <c:v>2.36</c:v>
                </c:pt>
              </c:numCache>
            </c:numRef>
          </c:xVal>
          <c:yVal>
            <c:numRef>
              <c:f>Abstract!$B$80:$B$85</c:f>
              <c:numCache>
                <c:formatCode>0.00</c:formatCode>
                <c:ptCount val="6"/>
                <c:pt idx="0">
                  <c:v>100</c:v>
                </c:pt>
                <c:pt idx="1">
                  <c:v>100</c:v>
                </c:pt>
                <c:pt idx="2">
                  <c:v>100</c:v>
                </c:pt>
                <c:pt idx="3">
                  <c:v>21.428571428571431</c:v>
                </c:pt>
                <c:pt idx="4">
                  <c:v>0</c:v>
                </c:pt>
                <c:pt idx="5">
                  <c:v>0</c:v>
                </c:pt>
              </c:numCache>
            </c:numRef>
          </c:yVal>
          <c:smooth val="1"/>
        </c:ser>
        <c:axId val="109212416"/>
        <c:axId val="109214336"/>
      </c:scatterChart>
      <c:valAx>
        <c:axId val="109212416"/>
        <c:scaling>
          <c:logBase val="10"/>
          <c:orientation val="minMax"/>
        </c:scaling>
        <c:axPos val="b"/>
        <c:majorGridlines/>
        <c:minorGridlines/>
        <c:title>
          <c:tx>
            <c:rich>
              <a:bodyPr/>
              <a:lstStyle/>
              <a:p>
                <a:pPr>
                  <a:defRPr lang="en-IN"/>
                </a:pPr>
                <a:r>
                  <a:rPr lang="en-US"/>
                  <a:t>Particle</a:t>
                </a:r>
                <a:r>
                  <a:rPr lang="en-US" baseline="0"/>
                  <a:t> Size(mm)</a:t>
                </a:r>
                <a:endParaRPr lang="en-US"/>
              </a:p>
            </c:rich>
          </c:tx>
          <c:layout>
            <c:manualLayout>
              <c:xMode val="edge"/>
              <c:yMode val="edge"/>
              <c:x val="0.40241347381047166"/>
              <c:y val="0.91588997729957489"/>
            </c:manualLayout>
          </c:layout>
        </c:title>
        <c:numFmt formatCode="General" sourceLinked="1"/>
        <c:tickLblPos val="nextTo"/>
        <c:txPr>
          <a:bodyPr/>
          <a:lstStyle/>
          <a:p>
            <a:pPr>
              <a:defRPr lang="en-IN"/>
            </a:pPr>
            <a:endParaRPr lang="en-US"/>
          </a:p>
        </c:txPr>
        <c:crossAx val="109214336"/>
        <c:crosses val="autoZero"/>
        <c:crossBetween val="midCat"/>
      </c:valAx>
      <c:valAx>
        <c:axId val="109214336"/>
        <c:scaling>
          <c:orientation val="minMax"/>
          <c:max val="100"/>
          <c:min val="0"/>
        </c:scaling>
        <c:axPos val="l"/>
        <c:majorGridlines/>
        <c:minorGridlines/>
        <c:title>
          <c:tx>
            <c:rich>
              <a:bodyPr/>
              <a:lstStyle/>
              <a:p>
                <a:pPr>
                  <a:defRPr lang="en-IN"/>
                </a:pPr>
                <a:r>
                  <a:rPr lang="en-US"/>
                  <a:t>Cumulative Percentage Passing</a:t>
                </a:r>
                <a:r>
                  <a:rPr lang="en-US" baseline="0"/>
                  <a:t> for each sieve</a:t>
                </a:r>
                <a:r>
                  <a:rPr lang="en-US"/>
                  <a:t> </a:t>
                </a:r>
              </a:p>
            </c:rich>
          </c:tx>
          <c:layout>
            <c:manualLayout>
              <c:xMode val="edge"/>
              <c:yMode val="edge"/>
              <c:x val="5.3187839709012774E-3"/>
              <c:y val="0.12475264121396611"/>
            </c:manualLayout>
          </c:layout>
        </c:title>
        <c:numFmt formatCode="General" sourceLinked="1"/>
        <c:tickLblPos val="nextTo"/>
        <c:txPr>
          <a:bodyPr/>
          <a:lstStyle/>
          <a:p>
            <a:pPr>
              <a:defRPr lang="en-IN"/>
            </a:pPr>
            <a:endParaRPr lang="en-US"/>
          </a:p>
        </c:txPr>
        <c:crossAx val="109212416"/>
        <c:crosses val="autoZero"/>
        <c:crossBetween val="midCat"/>
        <c:minorUnit val="1"/>
      </c:valAx>
    </c:plotArea>
    <c:legend>
      <c:legendPos val="r"/>
      <c:layout>
        <c:manualLayout>
          <c:xMode val="edge"/>
          <c:yMode val="edge"/>
          <c:x val="0.7797561791262575"/>
          <c:y val="0.46486960406545152"/>
          <c:w val="9.9862215156332798E-2"/>
          <c:h val="0.19237141899815624"/>
        </c:manualLayout>
      </c:layout>
      <c:txPr>
        <a:bodyPr/>
        <a:lstStyle/>
        <a:p>
          <a:pPr>
            <a:defRPr lang="en-IN"/>
          </a:pPr>
          <a:endParaRPr lang="en-US"/>
        </a:p>
      </c:txPr>
    </c:legend>
    <c:plotVisOnly val="1"/>
    <c:dispBlanksAs val="gap"/>
  </c:chart>
  <c:printSettings>
    <c:headerFooter/>
    <c:pageMargins b="0.75000000000000866" l="0.70000000000000062" r="0.70000000000000062" t="0.75000000000000866" header="0.30000000000000032" footer="0.30000000000000032"/>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29</xdr:col>
      <xdr:colOff>557212</xdr:colOff>
      <xdr:row>26</xdr:row>
      <xdr:rowOff>66675</xdr:rowOff>
    </xdr:from>
    <xdr:to>
      <xdr:col>36</xdr:col>
      <xdr:colOff>76200</xdr:colOff>
      <xdr:row>40</xdr:row>
      <xdr:rowOff>190500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533400</xdr:colOff>
      <xdr:row>8</xdr:row>
      <xdr:rowOff>161925</xdr:rowOff>
    </xdr:from>
    <xdr:to>
      <xdr:col>36</xdr:col>
      <xdr:colOff>71438</xdr:colOff>
      <xdr:row>24</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27</xdr:row>
      <xdr:rowOff>0</xdr:rowOff>
    </xdr:from>
    <xdr:to>
      <xdr:col>14</xdr:col>
      <xdr:colOff>800100</xdr:colOff>
      <xdr:row>47</xdr:row>
      <xdr:rowOff>133350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28575</xdr:colOff>
      <xdr:row>27</xdr:row>
      <xdr:rowOff>180976</xdr:rowOff>
    </xdr:from>
    <xdr:to>
      <xdr:col>7</xdr:col>
      <xdr:colOff>1485900</xdr:colOff>
      <xdr:row>46</xdr:row>
      <xdr:rowOff>142876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552450</xdr:colOff>
      <xdr:row>28</xdr:row>
      <xdr:rowOff>9525</xdr:rowOff>
    </xdr:from>
    <xdr:to>
      <xdr:col>18</xdr:col>
      <xdr:colOff>295276</xdr:colOff>
      <xdr:row>46</xdr:row>
      <xdr:rowOff>171450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47625</xdr:colOff>
      <xdr:row>48</xdr:row>
      <xdr:rowOff>114299</xdr:rowOff>
    </xdr:from>
    <xdr:to>
      <xdr:col>7</xdr:col>
      <xdr:colOff>1476375</xdr:colOff>
      <xdr:row>67</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590550</xdr:colOff>
      <xdr:row>48</xdr:row>
      <xdr:rowOff>171450</xdr:rowOff>
    </xdr:from>
    <xdr:to>
      <xdr:col>18</xdr:col>
      <xdr:colOff>390525</xdr:colOff>
      <xdr:row>67</xdr:row>
      <xdr:rowOff>57151</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0.09374</cdr:x>
      <cdr:y>0.09043</cdr:y>
    </cdr:from>
    <cdr:to>
      <cdr:x>0.2664</cdr:x>
      <cdr:y>0.20213</cdr:y>
    </cdr:to>
    <cdr:sp macro="" textlink="">
      <cdr:nvSpPr>
        <cdr:cNvPr id="2" name="TextBox 1"/>
        <cdr:cNvSpPr txBox="1"/>
      </cdr:nvSpPr>
      <cdr:spPr>
        <a:xfrm xmlns:a="http://schemas.openxmlformats.org/drawingml/2006/main">
          <a:off x="462511" y="323849"/>
          <a:ext cx="851905" cy="400050"/>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1800" b="1"/>
            <a:t>Zone 1</a:t>
          </a:r>
        </a:p>
      </cdr:txBody>
    </cdr:sp>
  </cdr:relSizeAnchor>
</c:userShapes>
</file>

<file path=xl/drawings/drawing5.xml><?xml version="1.0" encoding="utf-8"?>
<c:userShapes xmlns:c="http://schemas.openxmlformats.org/drawingml/2006/chart">
  <cdr:relSizeAnchor xmlns:cdr="http://schemas.openxmlformats.org/drawingml/2006/chartDrawing">
    <cdr:from>
      <cdr:x>0.08967</cdr:x>
      <cdr:y>0.03261</cdr:y>
    </cdr:from>
    <cdr:to>
      <cdr:x>0.26264</cdr:x>
      <cdr:y>0.14674</cdr:y>
    </cdr:to>
    <cdr:sp macro="" textlink="">
      <cdr:nvSpPr>
        <cdr:cNvPr id="2" name="TextBox 1"/>
        <cdr:cNvSpPr txBox="1"/>
      </cdr:nvSpPr>
      <cdr:spPr>
        <a:xfrm xmlns:a="http://schemas.openxmlformats.org/drawingml/2006/main">
          <a:off x="439866" y="114300"/>
          <a:ext cx="848498" cy="40005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b="1"/>
            <a:t>Zone 3</a:t>
          </a:r>
        </a:p>
      </cdr:txBody>
    </cdr:sp>
  </cdr:relSizeAnchor>
</c:userShapes>
</file>

<file path=xl/drawings/drawing6.xml><?xml version="1.0" encoding="utf-8"?>
<c:userShapes xmlns:c="http://schemas.openxmlformats.org/drawingml/2006/chart">
  <cdr:relSizeAnchor xmlns:cdr="http://schemas.openxmlformats.org/drawingml/2006/chartDrawing">
    <cdr:from>
      <cdr:x>0.10471</cdr:x>
      <cdr:y>0.04076</cdr:y>
    </cdr:from>
    <cdr:to>
      <cdr:x>0.27768</cdr:x>
      <cdr:y>0.15489</cdr:y>
    </cdr:to>
    <cdr:sp macro="" textlink="">
      <cdr:nvSpPr>
        <cdr:cNvPr id="2" name="TextBox 1"/>
        <cdr:cNvSpPr txBox="1"/>
      </cdr:nvSpPr>
      <cdr:spPr>
        <a:xfrm xmlns:a="http://schemas.openxmlformats.org/drawingml/2006/main">
          <a:off x="541558" y="142874"/>
          <a:ext cx="894614" cy="40004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800" b="1"/>
            <a:t>Zone</a:t>
          </a:r>
          <a:r>
            <a:rPr lang="en-US" sz="1800" b="1" baseline="0"/>
            <a:t> 4</a:t>
          </a:r>
          <a:endParaRPr lang="en-US" sz="1800" b="1"/>
        </a:p>
      </cdr:txBody>
    </cdr:sp>
  </cdr:relSizeAnchor>
</c:userShapes>
</file>

<file path=xl/drawings/drawing7.xml><?xml version="1.0" encoding="utf-8"?>
<xdr:wsDr xmlns:xdr="http://schemas.openxmlformats.org/drawingml/2006/spreadsheetDrawing" xmlns:a="http://schemas.openxmlformats.org/drawingml/2006/main">
  <xdr:twoCellAnchor>
    <xdr:from>
      <xdr:col>1</xdr:col>
      <xdr:colOff>361950</xdr:colOff>
      <xdr:row>20</xdr:row>
      <xdr:rowOff>142875</xdr:rowOff>
    </xdr:from>
    <xdr:to>
      <xdr:col>9</xdr:col>
      <xdr:colOff>523875</xdr:colOff>
      <xdr:row>39</xdr:row>
      <xdr:rowOff>104775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390525</xdr:colOff>
      <xdr:row>41</xdr:row>
      <xdr:rowOff>161925</xdr:rowOff>
    </xdr:from>
    <xdr:to>
      <xdr:col>9</xdr:col>
      <xdr:colOff>533400</xdr:colOff>
      <xdr:row>60</xdr:row>
      <xdr:rowOff>123825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314326</xdr:colOff>
      <xdr:row>20</xdr:row>
      <xdr:rowOff>152400</xdr:rowOff>
    </xdr:from>
    <xdr:to>
      <xdr:col>21</xdr:col>
      <xdr:colOff>285751</xdr:colOff>
      <xdr:row>39</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0.09374</cdr:x>
      <cdr:y>0.09043</cdr:y>
    </cdr:from>
    <cdr:to>
      <cdr:x>0.2664</cdr:x>
      <cdr:y>0.20213</cdr:y>
    </cdr:to>
    <cdr:sp macro="" textlink="">
      <cdr:nvSpPr>
        <cdr:cNvPr id="2" name="TextBox 1"/>
        <cdr:cNvSpPr txBox="1"/>
      </cdr:nvSpPr>
      <cdr:spPr>
        <a:xfrm xmlns:a="http://schemas.openxmlformats.org/drawingml/2006/main">
          <a:off x="462511" y="323849"/>
          <a:ext cx="851905" cy="400050"/>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1800" b="1"/>
            <a:t>40mm</a:t>
          </a:r>
        </a:p>
      </cdr:txBody>
    </cdr:sp>
  </cdr:relSizeAnchor>
</c:userShapes>
</file>

<file path=xl/drawings/drawing9.xml><?xml version="1.0" encoding="utf-8"?>
<c:userShapes xmlns:c="http://schemas.openxmlformats.org/drawingml/2006/chart">
  <cdr:relSizeAnchor xmlns:cdr="http://schemas.openxmlformats.org/drawingml/2006/chartDrawing">
    <cdr:from>
      <cdr:x>0.09374</cdr:x>
      <cdr:y>0.09043</cdr:y>
    </cdr:from>
    <cdr:to>
      <cdr:x>0.2664</cdr:x>
      <cdr:y>0.20213</cdr:y>
    </cdr:to>
    <cdr:sp macro="" textlink="">
      <cdr:nvSpPr>
        <cdr:cNvPr id="2" name="TextBox 1"/>
        <cdr:cNvSpPr txBox="1"/>
      </cdr:nvSpPr>
      <cdr:spPr>
        <a:xfrm xmlns:a="http://schemas.openxmlformats.org/drawingml/2006/main">
          <a:off x="462511" y="323849"/>
          <a:ext cx="851905" cy="400050"/>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1800" b="1"/>
            <a:t>20mm</a:t>
          </a:r>
        </a:p>
      </cdr:txBody>
    </cdr:sp>
  </cdr:relSizeAnchor>
</c:userShapes>
</file>

<file path=xl/drawings/drawing10.xml><?xml version="1.0" encoding="utf-8"?>
<c:userShapes xmlns:c="http://schemas.openxmlformats.org/drawingml/2006/chart">
  <cdr:relSizeAnchor xmlns:cdr="http://schemas.openxmlformats.org/drawingml/2006/chartDrawing">
    <cdr:from>
      <cdr:x>0.09374</cdr:x>
      <cdr:y>0.09043</cdr:y>
    </cdr:from>
    <cdr:to>
      <cdr:x>0.2664</cdr:x>
      <cdr:y>0.20213</cdr:y>
    </cdr:to>
    <cdr:sp macro="" textlink="">
      <cdr:nvSpPr>
        <cdr:cNvPr id="2" name="TextBox 1"/>
        <cdr:cNvSpPr txBox="1"/>
      </cdr:nvSpPr>
      <cdr:spPr>
        <a:xfrm xmlns:a="http://schemas.openxmlformats.org/drawingml/2006/main">
          <a:off x="462511" y="323849"/>
          <a:ext cx="851905" cy="400050"/>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r>
            <a:rPr lang="en-US" sz="1800" b="1"/>
            <a:t>20mm</a:t>
          </a:r>
        </a:p>
      </cdr:txBody>
    </cdr:sp>
  </cdr:relSizeAnchor>
</c:userShapes>
</file>

<file path=xl/drawings/drawing11.xml><?xml version="1.0" encoding="utf-8"?>
<xdr:wsDr xmlns:xdr="http://schemas.openxmlformats.org/drawingml/2006/spreadsheetDrawing" xmlns:a="http://schemas.openxmlformats.org/drawingml/2006/main">
  <xdr:twoCellAnchor>
    <xdr:from>
      <xdr:col>33</xdr:col>
      <xdr:colOff>66674</xdr:colOff>
      <xdr:row>2</xdr:row>
      <xdr:rowOff>152399</xdr:rowOff>
    </xdr:from>
    <xdr:to>
      <xdr:col>42</xdr:col>
      <xdr:colOff>428625</xdr:colOff>
      <xdr:row>22</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57151</xdr:colOff>
      <xdr:row>52</xdr:row>
      <xdr:rowOff>66675</xdr:rowOff>
    </xdr:from>
    <xdr:to>
      <xdr:col>10</xdr:col>
      <xdr:colOff>590550</xdr:colOff>
      <xdr:row>65</xdr:row>
      <xdr:rowOff>28575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xdr:colOff>
      <xdr:row>73</xdr:row>
      <xdr:rowOff>0</xdr:rowOff>
    </xdr:from>
    <xdr:to>
      <xdr:col>10</xdr:col>
      <xdr:colOff>542925</xdr:colOff>
      <xdr:row>84</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0.09374</cdr:x>
      <cdr:y>0.09043</cdr:y>
    </cdr:from>
    <cdr:to>
      <cdr:x>0.21711</cdr:x>
      <cdr:y>0.1592</cdr:y>
    </cdr:to>
    <cdr:sp macro="" textlink="">
      <cdr:nvSpPr>
        <cdr:cNvPr id="2" name="TextBox 1"/>
        <cdr:cNvSpPr txBox="1"/>
      </cdr:nvSpPr>
      <cdr:spPr>
        <a:xfrm xmlns:a="http://schemas.openxmlformats.org/drawingml/2006/main">
          <a:off x="271434" y="173131"/>
          <a:ext cx="357216" cy="131670"/>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endParaRPr lang="en-US" sz="1800" b="1"/>
        </a:p>
      </cdr:txBody>
    </cdr:sp>
  </cdr:relSizeAnchor>
</c:userShapes>
</file>

<file path=xl/drawings/drawing14.xml><?xml version="1.0" encoding="utf-8"?>
<c:userShapes xmlns:c="http://schemas.openxmlformats.org/drawingml/2006/chart">
  <cdr:relSizeAnchor xmlns:cdr="http://schemas.openxmlformats.org/drawingml/2006/chartDrawing">
    <cdr:from>
      <cdr:x>0.09374</cdr:x>
      <cdr:y>0.09043</cdr:y>
    </cdr:from>
    <cdr:to>
      <cdr:x>0.2664</cdr:x>
      <cdr:y>0.20213</cdr:y>
    </cdr:to>
    <cdr:sp macro="" textlink="">
      <cdr:nvSpPr>
        <cdr:cNvPr id="2" name="TextBox 1"/>
        <cdr:cNvSpPr txBox="1"/>
      </cdr:nvSpPr>
      <cdr:spPr>
        <a:xfrm xmlns:a="http://schemas.openxmlformats.org/drawingml/2006/main">
          <a:off x="462511" y="323849"/>
          <a:ext cx="851905" cy="400050"/>
        </a:xfrm>
        <a:prstGeom xmlns:a="http://schemas.openxmlformats.org/drawingml/2006/main" prst="rect">
          <a:avLst/>
        </a:prstGeom>
      </cdr:spPr>
      <cdr:txBody>
        <a:bodyPr xmlns:a="http://schemas.openxmlformats.org/drawingml/2006/main" wrap="none" rtlCol="0"/>
        <a:lstStyle xmlns:a="http://schemas.openxmlformats.org/drawingml/2006/main"/>
        <a:p xmlns:a="http://schemas.openxmlformats.org/drawingml/2006/main">
          <a:endParaRPr lang="en-US" sz="1800" b="1"/>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Concrete%20Mix%20Design-With%20accelerated%20curing%20tes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ncrete%20Mix%20Design-VBA%20(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tandard Deviation"/>
      <sheetName val="Water Content"/>
      <sheetName val="WC"/>
      <sheetName val="Cement Content"/>
      <sheetName val="FA Grading"/>
      <sheetName val="FA-FM Calc."/>
      <sheetName val="Agg. Proportn"/>
      <sheetName val="Mix Calculation"/>
    </sheetNames>
    <sheetDataSet>
      <sheetData sheetId="0"/>
      <sheetData sheetId="1">
        <row r="73">
          <cell r="G73" t="str">
            <v xml:space="preserve">28 day </v>
          </cell>
        </row>
        <row r="74">
          <cell r="F74">
            <v>2</v>
          </cell>
          <cell r="G74">
            <v>14.65</v>
          </cell>
        </row>
        <row r="75">
          <cell r="F75">
            <v>20</v>
          </cell>
          <cell r="G75">
            <v>32.65</v>
          </cell>
        </row>
        <row r="76">
          <cell r="F76">
            <v>30</v>
          </cell>
          <cell r="G76">
            <v>42.65</v>
          </cell>
        </row>
        <row r="77">
          <cell r="F77">
            <v>36</v>
          </cell>
          <cell r="G77">
            <v>48.65</v>
          </cell>
        </row>
        <row r="88">
          <cell r="G88" t="str">
            <v xml:space="preserve">28 day </v>
          </cell>
        </row>
        <row r="89">
          <cell r="F89">
            <v>2</v>
          </cell>
          <cell r="G89">
            <v>11.37</v>
          </cell>
        </row>
        <row r="90">
          <cell r="F90">
            <v>20</v>
          </cell>
          <cell r="G90">
            <v>40.89</v>
          </cell>
        </row>
        <row r="91">
          <cell r="F91">
            <v>30</v>
          </cell>
          <cell r="G91">
            <v>57.289999999999992</v>
          </cell>
        </row>
        <row r="92">
          <cell r="F92">
            <v>35</v>
          </cell>
          <cell r="G92">
            <v>65.489999999999995</v>
          </cell>
        </row>
      </sheetData>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ster"/>
      <sheetName val="Tests"/>
      <sheetName val="Test Results"/>
      <sheetName val="Standard Deviation"/>
      <sheetName val="FA-FM Calc."/>
      <sheetName val="FA Grading"/>
      <sheetName val="Agg. Proportn"/>
      <sheetName val="Water Content"/>
      <sheetName val="WC"/>
      <sheetName val="Cement Content"/>
      <sheetName val="Mix Calculation"/>
      <sheetName val="Sheet2"/>
    </sheetNames>
    <sheetDataSet>
      <sheetData sheetId="0"/>
      <sheetData sheetId="1">
        <row r="5">
          <cell r="U5" t="str">
            <v>PPC</v>
          </cell>
        </row>
        <row r="10">
          <cell r="U10">
            <v>100</v>
          </cell>
        </row>
      </sheetData>
      <sheetData sheetId="2"/>
      <sheetData sheetId="3"/>
      <sheetData sheetId="4">
        <row r="26">
          <cell r="E26">
            <v>3.333333333333333</v>
          </cell>
        </row>
      </sheetData>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sheetPr codeName="Sheet2"/>
  <dimension ref="A2:BQ126"/>
  <sheetViews>
    <sheetView topLeftCell="D1" zoomScale="71" zoomScaleNormal="71" workbookViewId="0">
      <selection activeCell="E14" sqref="E14"/>
    </sheetView>
  </sheetViews>
  <sheetFormatPr defaultRowHeight="15"/>
  <cols>
    <col min="1" max="1" width="6.140625" style="17" customWidth="1"/>
    <col min="2" max="2" width="7.42578125" customWidth="1"/>
    <col min="3" max="3" width="11.5703125" customWidth="1"/>
    <col min="4" max="4" width="44.42578125" customWidth="1"/>
    <col min="5" max="5" width="35.85546875" customWidth="1"/>
    <col min="6" max="6" width="5.85546875" customWidth="1"/>
    <col min="7" max="7" width="16.5703125" customWidth="1"/>
    <col min="8" max="8" width="19.85546875" customWidth="1"/>
    <col min="9" max="9" width="22.7109375" style="17" customWidth="1"/>
    <col min="10" max="10" width="7.28515625" customWidth="1"/>
    <col min="11" max="11" width="19.140625" style="24" customWidth="1"/>
    <col min="12" max="12" width="8.28515625" customWidth="1"/>
    <col min="13" max="13" width="14.140625" customWidth="1"/>
    <col min="14" max="14" width="35.42578125" customWidth="1"/>
    <col min="15" max="15" width="23.140625" customWidth="1"/>
    <col min="16" max="16" width="8.28515625" customWidth="1"/>
  </cols>
  <sheetData>
    <row r="2" spans="1:69">
      <c r="B2" s="496" t="s">
        <v>155</v>
      </c>
      <c r="C2" s="497"/>
      <c r="D2" s="498"/>
      <c r="I2" s="18"/>
    </row>
    <row r="3" spans="1:69" s="17" customFormat="1">
      <c r="B3" s="499"/>
      <c r="C3" s="500"/>
      <c r="D3" s="501"/>
      <c r="I3" s="18"/>
      <c r="K3" s="24"/>
    </row>
    <row r="4" spans="1:69" s="17" customFormat="1">
      <c r="B4" s="502" t="s">
        <v>156</v>
      </c>
      <c r="C4" s="503"/>
      <c r="D4" s="504"/>
      <c r="I4" s="18"/>
      <c r="K4" s="24"/>
    </row>
    <row r="5" spans="1:69">
      <c r="I5" s="18"/>
      <c r="L5" s="47"/>
      <c r="M5" s="47"/>
      <c r="N5" s="47"/>
      <c r="O5" s="47"/>
      <c r="P5" s="47"/>
      <c r="BO5">
        <v>0</v>
      </c>
      <c r="BQ5">
        <v>0</v>
      </c>
    </row>
    <row r="6" spans="1:69" ht="15" customHeight="1" thickBot="1">
      <c r="B6" s="24"/>
      <c r="D6" s="469" t="s">
        <v>136</v>
      </c>
      <c r="E6" s="96"/>
      <c r="F6" s="96"/>
      <c r="G6" s="96"/>
      <c r="H6" s="96"/>
      <c r="I6" s="425"/>
      <c r="J6" s="96"/>
      <c r="L6" s="47"/>
      <c r="M6" s="467" t="s">
        <v>234</v>
      </c>
      <c r="N6" s="467"/>
      <c r="O6" s="404"/>
      <c r="P6" s="47"/>
      <c r="Q6" s="24"/>
    </row>
    <row r="7" spans="1:69" ht="15" customHeight="1" thickTop="1" thickBot="1">
      <c r="C7" s="48"/>
      <c r="D7" s="470"/>
      <c r="E7" s="405"/>
      <c r="F7" s="96"/>
      <c r="G7" s="96"/>
      <c r="H7" s="96"/>
      <c r="I7" s="425"/>
      <c r="J7" s="96"/>
      <c r="L7" s="47"/>
      <c r="M7" s="467"/>
      <c r="N7" s="467"/>
      <c r="O7" s="404"/>
      <c r="P7" s="47"/>
      <c r="Q7" s="24"/>
    </row>
    <row r="8" spans="1:69" ht="15.75" thickTop="1">
      <c r="C8" s="38"/>
      <c r="D8" s="405"/>
      <c r="E8" s="405"/>
      <c r="F8" s="96"/>
      <c r="G8" s="12"/>
      <c r="H8" s="12"/>
      <c r="I8" s="425"/>
      <c r="J8" s="96"/>
      <c r="L8" s="47"/>
      <c r="M8" s="404"/>
      <c r="N8" s="404"/>
      <c r="O8" s="404"/>
      <c r="P8" s="47"/>
      <c r="Q8" s="24"/>
    </row>
    <row r="9" spans="1:69">
      <c r="C9" s="38"/>
      <c r="D9" s="421" t="s">
        <v>478</v>
      </c>
      <c r="E9" s="474">
        <v>30</v>
      </c>
      <c r="F9" s="96"/>
      <c r="G9" s="487" t="s">
        <v>298</v>
      </c>
      <c r="H9" s="505"/>
      <c r="I9" s="488"/>
      <c r="J9" s="96"/>
      <c r="L9" s="47"/>
      <c r="M9" s="399"/>
      <c r="N9" s="402"/>
      <c r="O9" s="137"/>
      <c r="P9" s="47"/>
      <c r="Q9" s="24"/>
    </row>
    <row r="10" spans="1:69">
      <c r="C10" s="38"/>
      <c r="D10" s="421"/>
      <c r="E10" s="474"/>
      <c r="F10" s="96"/>
      <c r="G10" s="489" t="s">
        <v>299</v>
      </c>
      <c r="H10" s="506"/>
      <c r="I10" s="490"/>
      <c r="J10" s="96"/>
      <c r="L10" s="47"/>
      <c r="M10" s="400">
        <v>1</v>
      </c>
      <c r="N10" s="134" t="s">
        <v>159</v>
      </c>
      <c r="O10" s="118">
        <f>'Mix Calculation'!L14</f>
        <v>347.00159999999994</v>
      </c>
      <c r="P10" s="47"/>
      <c r="Q10" s="24"/>
    </row>
    <row r="11" spans="1:69" s="24" customFormat="1">
      <c r="C11" s="36"/>
      <c r="D11" s="422"/>
      <c r="E11" s="104"/>
      <c r="F11" s="96"/>
      <c r="G11" s="12"/>
      <c r="H11" s="12"/>
      <c r="I11" s="425"/>
      <c r="J11" s="96"/>
      <c r="L11" s="47"/>
      <c r="M11" s="400"/>
      <c r="N11" s="134"/>
      <c r="O11" s="135"/>
      <c r="P11" s="47"/>
    </row>
    <row r="12" spans="1:69">
      <c r="C12" s="40"/>
      <c r="D12" s="479" t="s">
        <v>139</v>
      </c>
      <c r="E12" s="471">
        <v>100</v>
      </c>
      <c r="F12" s="96"/>
      <c r="G12" s="487" t="s">
        <v>301</v>
      </c>
      <c r="H12" s="505"/>
      <c r="I12" s="488"/>
      <c r="J12" s="96"/>
      <c r="L12" s="47"/>
      <c r="M12" s="400">
        <v>2</v>
      </c>
      <c r="N12" s="134" t="s">
        <v>142</v>
      </c>
      <c r="O12" s="118">
        <f>'Mix Calculation'!L16</f>
        <v>86.750399999999985</v>
      </c>
      <c r="P12" s="47"/>
      <c r="Q12" s="24"/>
    </row>
    <row r="13" spans="1:69">
      <c r="C13" s="36"/>
      <c r="D13" s="479"/>
      <c r="E13" s="471"/>
      <c r="F13" s="96"/>
      <c r="G13" s="489" t="s">
        <v>302</v>
      </c>
      <c r="H13" s="506"/>
      <c r="I13" s="490"/>
      <c r="J13" s="96"/>
      <c r="L13" s="47"/>
      <c r="M13" s="400"/>
      <c r="N13" s="134"/>
      <c r="O13" s="135"/>
      <c r="P13" s="47"/>
      <c r="Q13" s="24"/>
    </row>
    <row r="14" spans="1:69" s="24" customFormat="1">
      <c r="C14" s="36"/>
      <c r="D14" s="421"/>
      <c r="E14" s="423"/>
      <c r="F14" s="96"/>
      <c r="G14" s="427"/>
      <c r="H14" s="427"/>
      <c r="I14" s="425"/>
      <c r="J14" s="96"/>
      <c r="L14" s="47"/>
      <c r="M14" s="400">
        <v>3</v>
      </c>
      <c r="N14" s="134" t="s">
        <v>92</v>
      </c>
      <c r="O14" s="118">
        <f>'Mix Calculation'!L18</f>
        <v>197.16</v>
      </c>
      <c r="P14" s="47"/>
    </row>
    <row r="15" spans="1:69">
      <c r="C15" s="36"/>
      <c r="D15" s="479" t="s">
        <v>54</v>
      </c>
      <c r="E15" s="474" t="s">
        <v>44</v>
      </c>
      <c r="F15" s="96"/>
      <c r="G15" s="487" t="s">
        <v>303</v>
      </c>
      <c r="H15" s="505"/>
      <c r="I15" s="488"/>
      <c r="J15" s="96"/>
      <c r="L15" s="47"/>
      <c r="M15" s="400"/>
      <c r="N15" s="134"/>
      <c r="O15" s="135"/>
      <c r="P15" s="47"/>
      <c r="Q15" s="24"/>
    </row>
    <row r="16" spans="1:69">
      <c r="A16" s="26"/>
      <c r="B16" s="26"/>
      <c r="C16" s="36"/>
      <c r="D16" s="479"/>
      <c r="E16" s="474"/>
      <c r="F16" s="96"/>
      <c r="G16" s="489" t="s">
        <v>304</v>
      </c>
      <c r="H16" s="506"/>
      <c r="I16" s="490"/>
      <c r="J16" s="96"/>
      <c r="L16" s="47"/>
      <c r="M16" s="400">
        <v>4</v>
      </c>
      <c r="N16" s="134" t="s">
        <v>160</v>
      </c>
      <c r="O16" s="118">
        <f>'Mix Calculation'!L20</f>
        <v>634.95779657142873</v>
      </c>
      <c r="P16" s="47"/>
      <c r="Q16" s="24"/>
    </row>
    <row r="17" spans="1:17" s="24" customFormat="1">
      <c r="A17" s="26"/>
      <c r="B17" s="26"/>
      <c r="C17" s="36"/>
      <c r="D17" s="422"/>
      <c r="E17" s="405"/>
      <c r="F17" s="96"/>
      <c r="G17" s="427"/>
      <c r="H17" s="427"/>
      <c r="I17" s="425"/>
      <c r="J17" s="96"/>
      <c r="L17" s="47"/>
      <c r="M17" s="400"/>
      <c r="N17" s="134"/>
      <c r="O17" s="135"/>
      <c r="P17" s="47"/>
    </row>
    <row r="18" spans="1:17">
      <c r="A18" s="26"/>
      <c r="B18" s="26"/>
      <c r="C18" s="36"/>
      <c r="D18" s="475" t="s">
        <v>157</v>
      </c>
      <c r="E18" s="474" t="s">
        <v>538</v>
      </c>
      <c r="F18" s="96"/>
      <c r="G18" s="487" t="s">
        <v>305</v>
      </c>
      <c r="H18" s="505"/>
      <c r="I18" s="488"/>
      <c r="J18" s="96"/>
      <c r="L18" s="47"/>
      <c r="M18" s="400">
        <v>5</v>
      </c>
      <c r="N18" s="134" t="s">
        <v>161</v>
      </c>
      <c r="O18" s="118">
        <f>'Mix Calculation'!L22</f>
        <v>1107.9099001904765</v>
      </c>
      <c r="P18" s="47"/>
      <c r="Q18" s="24"/>
    </row>
    <row r="19" spans="1:17">
      <c r="B19" s="26"/>
      <c r="C19" s="36"/>
      <c r="D19" s="475"/>
      <c r="E19" s="474"/>
      <c r="F19" s="96"/>
      <c r="G19" s="489" t="s">
        <v>306</v>
      </c>
      <c r="H19" s="506"/>
      <c r="I19" s="490"/>
      <c r="J19" s="96"/>
      <c r="L19" s="47"/>
      <c r="M19" s="400"/>
      <c r="N19" s="134"/>
      <c r="O19" s="135"/>
      <c r="P19" s="47"/>
      <c r="Q19" s="24"/>
    </row>
    <row r="20" spans="1:17" s="24" customFormat="1">
      <c r="B20" s="26"/>
      <c r="C20" s="36"/>
      <c r="D20" s="423"/>
      <c r="E20" s="405"/>
      <c r="F20" s="96"/>
      <c r="G20" s="427"/>
      <c r="H20" s="427"/>
      <c r="I20" s="425"/>
      <c r="J20" s="96"/>
      <c r="L20" s="47"/>
      <c r="M20" s="400">
        <v>6</v>
      </c>
      <c r="N20" s="134" t="s">
        <v>140</v>
      </c>
      <c r="O20" s="118">
        <f>'Mix Calculation'!L24</f>
        <v>0</v>
      </c>
      <c r="P20" s="47"/>
    </row>
    <row r="21" spans="1:17">
      <c r="B21" s="26"/>
      <c r="C21" s="36"/>
      <c r="D21" s="479" t="s">
        <v>55</v>
      </c>
      <c r="E21" s="474" t="s">
        <v>81</v>
      </c>
      <c r="F21" s="96"/>
      <c r="G21" s="487" t="s">
        <v>510</v>
      </c>
      <c r="H21" s="505"/>
      <c r="I21" s="488"/>
      <c r="J21" s="96"/>
      <c r="L21" s="47"/>
      <c r="M21" s="400"/>
      <c r="N21" s="134"/>
      <c r="O21" s="135"/>
      <c r="P21" s="47"/>
      <c r="Q21" s="24"/>
    </row>
    <row r="22" spans="1:17">
      <c r="A22" s="26"/>
      <c r="B22" s="26"/>
      <c r="C22" s="36"/>
      <c r="D22" s="479"/>
      <c r="E22" s="474"/>
      <c r="F22" s="96"/>
      <c r="G22" s="489" t="s">
        <v>299</v>
      </c>
      <c r="H22" s="506"/>
      <c r="I22" s="490"/>
      <c r="J22" s="96"/>
      <c r="L22" s="47"/>
      <c r="M22" s="429">
        <v>7</v>
      </c>
      <c r="N22" s="139" t="s">
        <v>162</v>
      </c>
      <c r="O22" s="118">
        <f>'Mix Calculation'!L26</f>
        <v>0.45454545454545459</v>
      </c>
      <c r="P22" s="47"/>
      <c r="Q22" s="24"/>
    </row>
    <row r="23" spans="1:17" s="24" customFormat="1">
      <c r="A23" s="26"/>
      <c r="B23" s="26"/>
      <c r="C23" s="36"/>
      <c r="D23" s="421"/>
      <c r="E23" s="426"/>
      <c r="F23" s="96"/>
      <c r="G23" s="427"/>
      <c r="H23" s="427"/>
      <c r="I23" s="425"/>
      <c r="J23" s="96"/>
      <c r="L23" s="47"/>
      <c r="M23" s="401"/>
      <c r="N23" s="261"/>
      <c r="O23" s="261"/>
      <c r="P23" s="47"/>
    </row>
    <row r="24" spans="1:17">
      <c r="A24" s="26"/>
      <c r="B24" s="26"/>
      <c r="C24" s="40"/>
      <c r="D24" s="479" t="s">
        <v>140</v>
      </c>
      <c r="E24" s="471" t="s">
        <v>154</v>
      </c>
      <c r="F24" s="96"/>
      <c r="G24" s="480" t="s">
        <v>511</v>
      </c>
      <c r="H24" s="481"/>
      <c r="I24" s="482"/>
      <c r="J24" s="96"/>
      <c r="L24" s="47"/>
      <c r="M24" s="47"/>
      <c r="N24" s="44"/>
      <c r="O24" s="44"/>
      <c r="P24" s="47"/>
      <c r="Q24" s="24"/>
    </row>
    <row r="25" spans="1:17" s="24" customFormat="1">
      <c r="A25" s="26"/>
      <c r="B25" s="26"/>
      <c r="C25" s="40"/>
      <c r="D25" s="479"/>
      <c r="E25" s="471"/>
      <c r="F25" s="96"/>
      <c r="G25" s="483"/>
      <c r="H25" s="484"/>
      <c r="I25" s="485"/>
      <c r="J25" s="96"/>
      <c r="L25" s="47"/>
      <c r="M25" s="47"/>
      <c r="N25" s="44"/>
      <c r="O25" s="44"/>
      <c r="P25" s="47"/>
    </row>
    <row r="26" spans="1:17" ht="15.75" thickBot="1">
      <c r="A26" s="26"/>
      <c r="B26" s="26"/>
      <c r="C26" s="23"/>
      <c r="D26" s="424"/>
      <c r="E26" s="12"/>
      <c r="F26" s="96"/>
      <c r="G26" s="427"/>
      <c r="H26" s="427"/>
      <c r="I26" s="425"/>
      <c r="J26" s="96"/>
      <c r="L26" s="47"/>
      <c r="M26" s="468" t="s">
        <v>236</v>
      </c>
      <c r="N26" s="468"/>
      <c r="O26" s="66"/>
      <c r="P26" s="47"/>
      <c r="Q26" s="24"/>
    </row>
    <row r="27" spans="1:17" ht="16.5" thickTop="1" thickBot="1">
      <c r="A27" s="26"/>
      <c r="B27" s="26"/>
      <c r="C27" s="36"/>
      <c r="D27" s="422" t="s">
        <v>174</v>
      </c>
      <c r="E27" s="474" t="s">
        <v>528</v>
      </c>
      <c r="F27" s="96"/>
      <c r="G27" s="487" t="s">
        <v>512</v>
      </c>
      <c r="H27" s="505"/>
      <c r="I27" s="488"/>
      <c r="J27" s="96"/>
      <c r="L27" s="47"/>
      <c r="M27" s="468"/>
      <c r="N27" s="468"/>
      <c r="O27" s="66"/>
      <c r="P27" s="47"/>
    </row>
    <row r="28" spans="1:17" ht="15.75" thickTop="1">
      <c r="A28" s="26"/>
      <c r="B28" s="26"/>
      <c r="C28" s="23"/>
      <c r="D28" s="424"/>
      <c r="E28" s="474"/>
      <c r="F28" s="96"/>
      <c r="G28" s="489" t="s">
        <v>299</v>
      </c>
      <c r="H28" s="506"/>
      <c r="I28" s="490"/>
      <c r="J28" s="96"/>
      <c r="L28" s="47"/>
      <c r="M28" s="76"/>
      <c r="N28" s="76"/>
      <c r="O28" s="404"/>
      <c r="P28" s="47"/>
    </row>
    <row r="29" spans="1:17" s="24" customFormat="1">
      <c r="A29" s="26"/>
      <c r="B29" s="26"/>
      <c r="C29" s="23"/>
      <c r="D29" s="424"/>
      <c r="E29" s="405"/>
      <c r="F29" s="96"/>
      <c r="G29" s="427"/>
      <c r="H29" s="427"/>
      <c r="I29" s="425"/>
      <c r="J29" s="96"/>
      <c r="L29" s="47"/>
      <c r="M29" s="399"/>
      <c r="N29" s="399"/>
      <c r="O29" s="399"/>
      <c r="P29" s="47"/>
    </row>
    <row r="30" spans="1:17">
      <c r="A30" s="26"/>
      <c r="B30" s="26"/>
      <c r="C30" s="36"/>
      <c r="D30" s="475" t="s">
        <v>230</v>
      </c>
      <c r="E30" s="474" t="s">
        <v>514</v>
      </c>
      <c r="F30" s="96"/>
      <c r="G30" s="487" t="s">
        <v>513</v>
      </c>
      <c r="H30" s="505"/>
      <c r="I30" s="488"/>
      <c r="J30" s="96"/>
      <c r="L30" s="47"/>
      <c r="M30" s="400">
        <v>1</v>
      </c>
      <c r="N30" s="134" t="s">
        <v>159</v>
      </c>
      <c r="O30" s="118">
        <f>'Mix Calculation'!S14</f>
        <v>347.00159999999994</v>
      </c>
      <c r="P30" s="47"/>
    </row>
    <row r="31" spans="1:17" s="17" customFormat="1">
      <c r="A31" s="26"/>
      <c r="B31" s="26"/>
      <c r="C31" s="23"/>
      <c r="D31" s="475"/>
      <c r="E31" s="474"/>
      <c r="F31" s="96"/>
      <c r="G31" s="489" t="s">
        <v>299</v>
      </c>
      <c r="H31" s="506"/>
      <c r="I31" s="490"/>
      <c r="J31" s="96"/>
      <c r="K31" s="24"/>
      <c r="L31" s="47"/>
      <c r="M31" s="400"/>
      <c r="N31" s="134"/>
      <c r="O31" s="135"/>
      <c r="P31" s="47"/>
    </row>
    <row r="32" spans="1:17" s="24" customFormat="1">
      <c r="A32" s="26"/>
      <c r="B32" s="26"/>
      <c r="C32" s="23"/>
      <c r="D32" s="423"/>
      <c r="E32" s="405"/>
      <c r="F32" s="96"/>
      <c r="G32" s="427"/>
      <c r="H32" s="427"/>
      <c r="I32" s="425"/>
      <c r="J32" s="96"/>
      <c r="L32" s="47"/>
      <c r="M32" s="400">
        <v>2</v>
      </c>
      <c r="N32" s="134" t="s">
        <v>142</v>
      </c>
      <c r="O32" s="118">
        <f>'Mix Calculation'!S16</f>
        <v>86.750399999999985</v>
      </c>
      <c r="P32" s="47"/>
    </row>
    <row r="33" spans="1:16" s="24" customFormat="1">
      <c r="A33" s="26"/>
      <c r="B33" s="26"/>
      <c r="C33" s="23"/>
      <c r="D33" s="423" t="s">
        <v>307</v>
      </c>
      <c r="E33" s="474" t="s">
        <v>310</v>
      </c>
      <c r="F33" s="96"/>
      <c r="G33" s="474">
        <v>6</v>
      </c>
      <c r="H33" s="487" t="s">
        <v>308</v>
      </c>
      <c r="I33" s="488"/>
      <c r="J33" s="96"/>
      <c r="L33" s="47"/>
      <c r="M33" s="400"/>
      <c r="N33" s="134"/>
      <c r="O33" s="135"/>
      <c r="P33" s="47"/>
    </row>
    <row r="34" spans="1:16" s="24" customFormat="1">
      <c r="A34" s="26"/>
      <c r="B34" s="26"/>
      <c r="C34" s="23"/>
      <c r="D34" s="423" t="s">
        <v>181</v>
      </c>
      <c r="E34" s="474"/>
      <c r="F34" s="96"/>
      <c r="G34" s="474"/>
      <c r="H34" s="489" t="s">
        <v>309</v>
      </c>
      <c r="I34" s="490"/>
      <c r="J34" s="96"/>
      <c r="L34" s="47"/>
      <c r="M34" s="400">
        <v>3</v>
      </c>
      <c r="N34" s="134" t="s">
        <v>92</v>
      </c>
      <c r="O34" s="118">
        <f>'Mix Calculation'!S18</f>
        <v>190.81042203428572</v>
      </c>
      <c r="P34" s="47"/>
    </row>
    <row r="35" spans="1:16" s="24" customFormat="1">
      <c r="A35" s="26"/>
      <c r="B35" s="26"/>
      <c r="C35" s="23"/>
      <c r="D35" s="423"/>
      <c r="E35" s="405"/>
      <c r="F35" s="96"/>
      <c r="G35" s="96"/>
      <c r="H35" s="427"/>
      <c r="I35" s="425"/>
      <c r="J35" s="96"/>
      <c r="L35" s="47"/>
      <c r="M35" s="400"/>
      <c r="N35" s="134"/>
      <c r="O35" s="135"/>
      <c r="P35" s="47"/>
    </row>
    <row r="36" spans="1:16" s="24" customFormat="1">
      <c r="A36" s="26"/>
      <c r="B36" s="26"/>
      <c r="C36" s="23"/>
      <c r="D36" s="486" t="s">
        <v>311</v>
      </c>
      <c r="E36" s="474" t="s">
        <v>404</v>
      </c>
      <c r="F36" s="96"/>
      <c r="G36" s="474">
        <v>0.4</v>
      </c>
      <c r="H36" s="487" t="s">
        <v>312</v>
      </c>
      <c r="I36" s="488"/>
      <c r="J36" s="96"/>
      <c r="L36" s="47"/>
      <c r="M36" s="400">
        <v>4</v>
      </c>
      <c r="N36" s="134" t="s">
        <v>160</v>
      </c>
      <c r="O36" s="118">
        <f>'Mix Calculation'!S20</f>
        <v>641.307374537143</v>
      </c>
      <c r="P36" s="47"/>
    </row>
    <row r="37" spans="1:16" s="24" customFormat="1">
      <c r="A37" s="26"/>
      <c r="B37" s="26"/>
      <c r="C37" s="23"/>
      <c r="D37" s="486"/>
      <c r="E37" s="474"/>
      <c r="F37" s="96"/>
      <c r="G37" s="474"/>
      <c r="H37" s="489" t="s">
        <v>309</v>
      </c>
      <c r="I37" s="490"/>
      <c r="J37" s="96"/>
      <c r="L37" s="47"/>
      <c r="M37" s="400"/>
      <c r="N37" s="134"/>
      <c r="O37" s="135"/>
      <c r="P37" s="47"/>
    </row>
    <row r="38" spans="1:16" s="24" customFormat="1">
      <c r="A38" s="26"/>
      <c r="B38" s="26"/>
      <c r="C38" s="23"/>
      <c r="D38" s="423"/>
      <c r="E38" s="405"/>
      <c r="F38" s="96"/>
      <c r="G38" s="427"/>
      <c r="H38" s="427"/>
      <c r="I38" s="425"/>
      <c r="J38" s="96"/>
      <c r="L38" s="47"/>
      <c r="M38" s="400">
        <v>5</v>
      </c>
      <c r="N38" s="134" t="s">
        <v>161</v>
      </c>
      <c r="O38" s="118">
        <f>'Mix Calculation'!S22</f>
        <v>1107.9099001904765</v>
      </c>
      <c r="P38" s="47"/>
    </row>
    <row r="39" spans="1:16" s="24" customFormat="1">
      <c r="A39" s="26"/>
      <c r="B39" s="26"/>
      <c r="C39" s="23"/>
      <c r="D39" s="486" t="s">
        <v>313</v>
      </c>
      <c r="E39" s="474" t="s">
        <v>404</v>
      </c>
      <c r="F39" s="96"/>
      <c r="G39" s="480" t="s">
        <v>314</v>
      </c>
      <c r="H39" s="481"/>
      <c r="I39" s="482"/>
      <c r="J39" s="96"/>
      <c r="L39" s="47"/>
      <c r="M39" s="400"/>
      <c r="N39" s="134"/>
      <c r="O39" s="135"/>
      <c r="P39" s="47"/>
    </row>
    <row r="40" spans="1:16" s="24" customFormat="1">
      <c r="A40" s="26"/>
      <c r="B40" s="26"/>
      <c r="C40" s="23"/>
      <c r="D40" s="486"/>
      <c r="E40" s="474"/>
      <c r="F40" s="96"/>
      <c r="G40" s="483"/>
      <c r="H40" s="484"/>
      <c r="I40" s="485"/>
      <c r="J40" s="96"/>
      <c r="L40" s="47"/>
      <c r="M40" s="400">
        <v>6</v>
      </c>
      <c r="N40" s="134" t="s">
        <v>140</v>
      </c>
      <c r="O40" s="118">
        <f>'Mix Calculation'!S24</f>
        <v>0</v>
      </c>
      <c r="P40" s="47"/>
    </row>
    <row r="41" spans="1:16" s="24" customFormat="1">
      <c r="A41" s="26"/>
      <c r="B41" s="26"/>
      <c r="C41" s="23"/>
      <c r="D41" s="405"/>
      <c r="E41" s="405"/>
      <c r="F41" s="96"/>
      <c r="G41" s="427"/>
      <c r="H41" s="427"/>
      <c r="I41" s="425"/>
      <c r="J41" s="96"/>
      <c r="L41" s="47"/>
      <c r="M41" s="400"/>
      <c r="N41" s="134"/>
      <c r="O41" s="135"/>
      <c r="P41" s="47"/>
    </row>
    <row r="42" spans="1:16" s="24" customFormat="1" ht="15.75" thickBot="1">
      <c r="A42" s="26"/>
      <c r="B42" s="26"/>
      <c r="C42" s="23"/>
      <c r="D42" s="469" t="s">
        <v>33</v>
      </c>
      <c r="E42" s="67"/>
      <c r="F42" s="63"/>
      <c r="G42" s="63"/>
      <c r="H42" s="63"/>
      <c r="I42" s="63"/>
      <c r="J42" s="63"/>
      <c r="L42" s="47"/>
      <c r="M42" s="430">
        <v>7</v>
      </c>
      <c r="N42" s="142" t="s">
        <v>162</v>
      </c>
      <c r="O42" s="118">
        <f>'Mix Calculation'!S26</f>
        <v>0.45454545454545459</v>
      </c>
      <c r="P42" s="47"/>
    </row>
    <row r="43" spans="1:16" s="24" customFormat="1" ht="15.75" thickTop="1">
      <c r="A43" s="26"/>
      <c r="C43" s="38"/>
      <c r="D43" s="470"/>
      <c r="E43" s="67"/>
      <c r="F43" s="63"/>
      <c r="G43" s="63"/>
      <c r="H43" s="63"/>
      <c r="I43" s="63"/>
      <c r="J43" s="63"/>
      <c r="L43" s="47"/>
      <c r="M43" s="47"/>
      <c r="N43" s="47"/>
      <c r="O43" s="47"/>
      <c r="P43" s="47"/>
    </row>
    <row r="44" spans="1:16">
      <c r="A44" s="26"/>
      <c r="C44" s="38"/>
      <c r="D44" s="67"/>
      <c r="E44" s="67"/>
      <c r="F44" s="63"/>
      <c r="G44" s="63"/>
      <c r="H44" s="63"/>
      <c r="I44" s="63"/>
      <c r="J44" s="63"/>
      <c r="P44" s="24"/>
    </row>
    <row r="45" spans="1:16" s="5" customFormat="1">
      <c r="A45" s="26"/>
      <c r="C45" s="38"/>
      <c r="D45" s="495" t="s">
        <v>137</v>
      </c>
      <c r="E45" s="474" t="s">
        <v>539</v>
      </c>
      <c r="F45" s="63"/>
      <c r="G45" s="476" t="s">
        <v>315</v>
      </c>
      <c r="H45" s="476"/>
      <c r="I45" s="476"/>
      <c r="J45" s="63"/>
      <c r="K45" s="24"/>
      <c r="M45"/>
      <c r="N45"/>
      <c r="O45"/>
      <c r="P45" s="24"/>
    </row>
    <row r="46" spans="1:16" s="24" customFormat="1">
      <c r="A46" s="26"/>
      <c r="C46" s="36"/>
      <c r="D46" s="495"/>
      <c r="E46" s="474"/>
      <c r="F46" s="63"/>
      <c r="G46" s="476" t="s">
        <v>299</v>
      </c>
      <c r="H46" s="476"/>
      <c r="I46" s="476"/>
      <c r="J46" s="63"/>
      <c r="M46"/>
      <c r="N46"/>
      <c r="O46"/>
      <c r="P46"/>
    </row>
    <row r="47" spans="1:16" s="24" customFormat="1">
      <c r="A47" s="26"/>
      <c r="C47" s="36"/>
      <c r="D47" s="418"/>
      <c r="E47" s="67"/>
      <c r="F47" s="63"/>
      <c r="G47" s="419"/>
      <c r="H47" s="419"/>
      <c r="I47" s="420"/>
      <c r="J47" s="63"/>
      <c r="P47" s="5"/>
    </row>
    <row r="48" spans="1:16">
      <c r="A48" s="26"/>
      <c r="C48" s="36"/>
      <c r="D48" s="495" t="s">
        <v>180</v>
      </c>
      <c r="E48" s="471">
        <f>IF(E45="PPC",3,3.15)</f>
        <v>3.15</v>
      </c>
      <c r="F48" s="63"/>
      <c r="G48" s="491" t="s">
        <v>529</v>
      </c>
      <c r="H48" s="491"/>
      <c r="I48" s="491"/>
      <c r="J48" s="63"/>
      <c r="P48" s="24"/>
    </row>
    <row r="49" spans="1:16">
      <c r="A49" s="26"/>
      <c r="C49" s="40"/>
      <c r="D49" s="495"/>
      <c r="E49" s="471"/>
      <c r="F49" s="63"/>
      <c r="G49" s="491"/>
      <c r="H49" s="491"/>
      <c r="I49" s="491"/>
      <c r="J49" s="63"/>
      <c r="M49" s="24"/>
      <c r="N49" s="24"/>
      <c r="O49" s="24"/>
      <c r="P49" s="24"/>
    </row>
    <row r="50" spans="1:16">
      <c r="A50" s="26"/>
      <c r="C50" s="23"/>
      <c r="D50" s="64"/>
      <c r="E50" s="64"/>
      <c r="F50" s="63"/>
      <c r="G50" s="419"/>
      <c r="H50" s="419"/>
      <c r="I50" s="420"/>
      <c r="J50" s="63"/>
      <c r="M50" s="24"/>
      <c r="N50" s="24"/>
      <c r="O50" s="24"/>
    </row>
    <row r="51" spans="1:16" ht="15.75" thickBot="1">
      <c r="A51" s="26"/>
      <c r="C51" s="23"/>
      <c r="D51" s="469" t="s">
        <v>300</v>
      </c>
      <c r="E51" s="445"/>
      <c r="F51" s="96"/>
      <c r="G51" s="96"/>
      <c r="H51" s="96"/>
      <c r="I51" s="96"/>
      <c r="J51" s="96"/>
    </row>
    <row r="52" spans="1:16" ht="15.75" thickTop="1">
      <c r="C52" s="38"/>
      <c r="D52" s="470"/>
      <c r="E52" s="445"/>
      <c r="F52" s="96"/>
      <c r="G52" s="96"/>
      <c r="H52" s="96"/>
      <c r="I52" s="96"/>
      <c r="J52" s="96"/>
      <c r="M52" s="24"/>
      <c r="N52" s="24"/>
      <c r="O52" s="24"/>
    </row>
    <row r="53" spans="1:16" s="24" customFormat="1" ht="19.5">
      <c r="C53" s="38"/>
      <c r="D53" s="101"/>
      <c r="E53" s="447"/>
      <c r="F53" s="96"/>
      <c r="G53" s="96"/>
      <c r="H53" s="96"/>
      <c r="I53" s="96"/>
      <c r="J53" s="96"/>
      <c r="P53"/>
    </row>
    <row r="54" spans="1:16">
      <c r="C54" s="38"/>
      <c r="D54" s="486" t="s">
        <v>518</v>
      </c>
      <c r="E54" s="474" t="s">
        <v>520</v>
      </c>
      <c r="F54" s="96"/>
      <c r="G54" s="474" t="s">
        <v>61</v>
      </c>
      <c r="H54" s="487" t="s">
        <v>521</v>
      </c>
      <c r="I54" s="488"/>
      <c r="J54" s="96"/>
    </row>
    <row r="55" spans="1:16" s="24" customFormat="1">
      <c r="C55" s="36"/>
      <c r="D55" s="486"/>
      <c r="E55" s="474"/>
      <c r="F55" s="96"/>
      <c r="G55" s="474"/>
      <c r="H55" s="489" t="s">
        <v>522</v>
      </c>
      <c r="I55" s="490"/>
      <c r="J55" s="96"/>
      <c r="M55"/>
      <c r="N55"/>
      <c r="O55"/>
    </row>
    <row r="56" spans="1:16" s="24" customFormat="1" ht="19.5">
      <c r="C56" s="36"/>
      <c r="D56" s="101"/>
      <c r="E56" s="445"/>
      <c r="F56" s="96"/>
      <c r="G56" s="96"/>
      <c r="H56" s="96"/>
      <c r="I56" s="96"/>
      <c r="J56" s="96"/>
      <c r="M56"/>
      <c r="N56"/>
      <c r="O56"/>
      <c r="P56"/>
    </row>
    <row r="57" spans="1:16">
      <c r="C57" s="36"/>
      <c r="D57" s="479" t="s">
        <v>138</v>
      </c>
      <c r="E57" s="474">
        <v>20</v>
      </c>
      <c r="F57" s="96"/>
      <c r="G57" s="476" t="s">
        <v>316</v>
      </c>
      <c r="H57" s="476"/>
      <c r="I57" s="476"/>
      <c r="J57" s="96"/>
      <c r="M57" s="24"/>
      <c r="N57" s="24"/>
      <c r="O57" s="24"/>
      <c r="P57" s="24"/>
    </row>
    <row r="58" spans="1:16" s="24" customFormat="1">
      <c r="C58" s="40"/>
      <c r="D58" s="479"/>
      <c r="E58" s="474"/>
      <c r="F58" s="96"/>
      <c r="G58" s="476" t="s">
        <v>299</v>
      </c>
      <c r="H58" s="476"/>
      <c r="I58" s="476"/>
      <c r="J58" s="96"/>
      <c r="M58"/>
      <c r="N58"/>
      <c r="O58"/>
    </row>
    <row r="59" spans="1:16" s="24" customFormat="1">
      <c r="C59" s="40"/>
      <c r="D59" s="448"/>
      <c r="E59" s="445"/>
      <c r="F59" s="96"/>
      <c r="G59" s="427"/>
      <c r="H59" s="427"/>
      <c r="I59" s="425"/>
      <c r="J59" s="96"/>
      <c r="P59"/>
    </row>
    <row r="60" spans="1:16">
      <c r="C60" s="40"/>
      <c r="D60" s="475" t="s">
        <v>52</v>
      </c>
      <c r="E60" s="471">
        <v>2.7</v>
      </c>
      <c r="F60" s="96"/>
      <c r="G60" s="466" t="s">
        <v>317</v>
      </c>
      <c r="H60" s="466"/>
      <c r="I60" s="466"/>
      <c r="J60" s="96"/>
      <c r="M60" s="24"/>
      <c r="N60" s="24"/>
      <c r="O60" s="24"/>
      <c r="P60" s="24"/>
    </row>
    <row r="61" spans="1:16">
      <c r="C61" s="40"/>
      <c r="D61" s="475"/>
      <c r="E61" s="471"/>
      <c r="F61" s="96"/>
      <c r="G61" s="466"/>
      <c r="H61" s="466"/>
      <c r="I61" s="466"/>
      <c r="J61" s="96"/>
      <c r="P61" s="24"/>
    </row>
    <row r="62" spans="1:16">
      <c r="C62" s="23"/>
      <c r="D62" s="443"/>
      <c r="E62" s="443"/>
      <c r="F62" s="96"/>
      <c r="G62" s="427"/>
      <c r="H62" s="427"/>
      <c r="I62" s="425"/>
      <c r="J62" s="96"/>
    </row>
    <row r="63" spans="1:16" s="24" customFormat="1">
      <c r="C63" s="36"/>
      <c r="D63" s="443" t="s">
        <v>53</v>
      </c>
      <c r="E63" s="471">
        <v>2.65</v>
      </c>
      <c r="F63" s="96"/>
      <c r="G63" s="466" t="s">
        <v>317</v>
      </c>
      <c r="H63" s="466"/>
      <c r="I63" s="466"/>
      <c r="J63" s="96"/>
      <c r="P63"/>
    </row>
    <row r="64" spans="1:16">
      <c r="C64" s="36"/>
      <c r="D64" s="444"/>
      <c r="E64" s="471"/>
      <c r="F64" s="96"/>
      <c r="G64" s="466"/>
      <c r="H64" s="466"/>
      <c r="I64" s="466"/>
      <c r="J64" s="96"/>
    </row>
    <row r="65" spans="3:16" s="24" customFormat="1">
      <c r="C65" s="36"/>
      <c r="D65" s="96"/>
      <c r="E65" s="239"/>
      <c r="F65" s="96"/>
      <c r="G65" s="427"/>
      <c r="H65" s="427"/>
      <c r="I65" s="425"/>
      <c r="J65" s="96"/>
      <c r="M65" s="39"/>
    </row>
    <row r="66" spans="3:16" s="24" customFormat="1">
      <c r="C66" s="36"/>
      <c r="D66" s="422"/>
      <c r="E66" s="422"/>
      <c r="F66" s="96"/>
      <c r="G66" s="427"/>
      <c r="H66" s="427"/>
      <c r="I66" s="425"/>
      <c r="J66" s="96"/>
      <c r="M66"/>
      <c r="N66"/>
      <c r="O66"/>
      <c r="P66"/>
    </row>
    <row r="67" spans="3:16">
      <c r="C67" s="36"/>
      <c r="D67" s="422" t="s">
        <v>231</v>
      </c>
      <c r="E67" s="96"/>
      <c r="F67" s="96"/>
      <c r="G67" s="427"/>
      <c r="H67" s="427"/>
      <c r="I67" s="425"/>
      <c r="J67" s="96"/>
      <c r="M67" s="24"/>
      <c r="N67" s="24"/>
      <c r="O67" s="24"/>
      <c r="P67" s="24"/>
    </row>
    <row r="68" spans="3:16">
      <c r="C68" s="36"/>
      <c r="D68" s="422"/>
      <c r="E68" s="239"/>
      <c r="F68" s="96"/>
      <c r="G68" s="96"/>
      <c r="H68" s="96"/>
      <c r="I68" s="96"/>
      <c r="J68" s="96"/>
      <c r="P68" s="24"/>
    </row>
    <row r="69" spans="3:16" s="24" customFormat="1">
      <c r="C69" s="36"/>
      <c r="D69" s="475" t="s">
        <v>161</v>
      </c>
      <c r="E69" s="471">
        <v>0.85</v>
      </c>
      <c r="F69" s="96"/>
      <c r="G69" s="476" t="s">
        <v>318</v>
      </c>
      <c r="H69" s="476"/>
      <c r="I69" s="476"/>
      <c r="J69" s="96"/>
      <c r="M69"/>
      <c r="N69"/>
      <c r="O69"/>
      <c r="P69"/>
    </row>
    <row r="70" spans="3:16">
      <c r="C70" s="36"/>
      <c r="D70" s="475"/>
      <c r="E70" s="471"/>
      <c r="F70" s="96"/>
      <c r="G70" s="476" t="s">
        <v>319</v>
      </c>
      <c r="H70" s="476"/>
      <c r="I70" s="476"/>
      <c r="J70" s="96"/>
      <c r="M70" s="24"/>
      <c r="N70" s="24"/>
      <c r="O70" s="24"/>
    </row>
    <row r="71" spans="3:16" s="24" customFormat="1">
      <c r="C71" s="36"/>
      <c r="D71" s="443"/>
      <c r="E71" s="443"/>
      <c r="F71" s="96"/>
      <c r="G71" s="427"/>
      <c r="H71" s="427"/>
      <c r="I71" s="425"/>
      <c r="J71" s="96"/>
      <c r="K71" s="39"/>
      <c r="L71" s="39"/>
      <c r="M71"/>
      <c r="N71"/>
      <c r="O71"/>
    </row>
    <row r="72" spans="3:16">
      <c r="C72" s="36"/>
      <c r="D72" s="475" t="s">
        <v>160</v>
      </c>
      <c r="E72" s="492">
        <v>1</v>
      </c>
      <c r="F72" s="96"/>
      <c r="G72" s="476" t="s">
        <v>320</v>
      </c>
      <c r="H72" s="476"/>
      <c r="I72" s="476"/>
      <c r="J72" s="96"/>
    </row>
    <row r="73" spans="3:16" s="24" customFormat="1">
      <c r="C73" s="36"/>
      <c r="D73" s="475"/>
      <c r="E73" s="493"/>
      <c r="F73" s="96"/>
      <c r="G73" s="476" t="s">
        <v>319</v>
      </c>
      <c r="H73" s="476"/>
      <c r="I73" s="476"/>
      <c r="J73" s="96"/>
    </row>
    <row r="74" spans="3:16">
      <c r="C74" s="36"/>
      <c r="D74" s="453"/>
      <c r="E74" s="452"/>
      <c r="F74" s="96"/>
      <c r="G74" s="427"/>
      <c r="H74" s="427"/>
      <c r="I74" s="425"/>
      <c r="J74" s="96"/>
      <c r="M74" s="428"/>
      <c r="N74" s="23"/>
    </row>
    <row r="75" spans="3:16">
      <c r="C75" s="23"/>
      <c r="D75" s="453"/>
      <c r="E75" s="452"/>
      <c r="F75" s="96"/>
      <c r="G75" s="427"/>
      <c r="H75" s="427"/>
      <c r="I75" s="425"/>
      <c r="J75" s="96"/>
      <c r="M75" s="428"/>
      <c r="N75" s="23"/>
      <c r="P75" s="24"/>
    </row>
    <row r="76" spans="3:16" s="24" customFormat="1">
      <c r="C76" s="23"/>
      <c r="D76" s="494" t="s">
        <v>515</v>
      </c>
      <c r="E76" s="494"/>
      <c r="F76" s="96"/>
      <c r="G76" s="427"/>
      <c r="H76" s="427"/>
      <c r="I76" s="425"/>
      <c r="J76" s="96"/>
      <c r="M76" s="428"/>
      <c r="N76" s="23"/>
      <c r="P76"/>
    </row>
    <row r="77" spans="3:16">
      <c r="C77" s="23"/>
      <c r="D77" s="452"/>
      <c r="E77" s="452"/>
      <c r="F77" s="96"/>
      <c r="G77" s="427"/>
      <c r="H77" s="427"/>
      <c r="I77" s="425"/>
      <c r="J77" s="96"/>
      <c r="M77" s="15"/>
      <c r="N77" s="15"/>
      <c r="O77" s="15"/>
    </row>
    <row r="78" spans="3:16">
      <c r="C78" s="38"/>
      <c r="D78" s="452"/>
      <c r="E78" s="452"/>
      <c r="F78" s="96"/>
      <c r="G78" s="427"/>
      <c r="H78" s="427"/>
      <c r="I78" s="425"/>
      <c r="J78" s="96"/>
      <c r="M78" s="15"/>
      <c r="N78" s="15"/>
      <c r="O78" s="15"/>
      <c r="P78" s="24"/>
    </row>
    <row r="79" spans="3:16" s="24" customFormat="1">
      <c r="C79" s="38"/>
      <c r="D79" s="422" t="s">
        <v>232</v>
      </c>
      <c r="E79" s="422"/>
      <c r="F79" s="96"/>
      <c r="G79" s="427"/>
      <c r="H79" s="427"/>
      <c r="I79" s="425"/>
      <c r="J79" s="96"/>
      <c r="P79"/>
    </row>
    <row r="80" spans="3:16">
      <c r="C80" s="38"/>
      <c r="D80" s="96"/>
      <c r="E80" s="239"/>
      <c r="F80" s="96"/>
      <c r="G80" s="96"/>
      <c r="H80" s="96"/>
      <c r="I80" s="96"/>
      <c r="J80" s="96"/>
      <c r="K80" s="428"/>
      <c r="L80" s="428"/>
    </row>
    <row r="81" spans="1:16">
      <c r="C81" s="40"/>
      <c r="D81" s="475" t="s">
        <v>233</v>
      </c>
      <c r="E81" s="471">
        <v>0</v>
      </c>
      <c r="F81" s="96"/>
      <c r="G81" s="476" t="s">
        <v>321</v>
      </c>
      <c r="H81" s="476"/>
      <c r="I81" s="476"/>
      <c r="J81" s="96"/>
      <c r="K81" s="428"/>
      <c r="L81" s="428"/>
      <c r="M81" s="24"/>
      <c r="N81" s="24"/>
      <c r="O81" s="24"/>
      <c r="P81" s="24"/>
    </row>
    <row r="82" spans="1:16" s="24" customFormat="1">
      <c r="C82" s="36"/>
      <c r="D82" s="475"/>
      <c r="E82" s="471"/>
      <c r="F82" s="96"/>
      <c r="G82" s="476" t="s">
        <v>319</v>
      </c>
      <c r="H82" s="476"/>
      <c r="I82" s="476"/>
      <c r="J82" s="96"/>
      <c r="K82" s="428"/>
      <c r="L82" s="428"/>
      <c r="P82"/>
    </row>
    <row r="83" spans="1:16" s="15" customFormat="1">
      <c r="A83" s="17"/>
      <c r="C83" s="36"/>
      <c r="D83" s="443"/>
      <c r="E83" s="443"/>
      <c r="F83" s="96"/>
      <c r="G83" s="427"/>
      <c r="H83" s="427"/>
      <c r="I83" s="425"/>
      <c r="J83" s="96"/>
      <c r="K83" s="37"/>
      <c r="L83" s="37"/>
      <c r="M83"/>
      <c r="N83"/>
      <c r="O83"/>
      <c r="P83"/>
    </row>
    <row r="84" spans="1:16" s="15" customFormat="1">
      <c r="A84" s="17"/>
      <c r="C84" s="36"/>
      <c r="D84" s="475" t="s">
        <v>160</v>
      </c>
      <c r="E84" s="471">
        <v>1</v>
      </c>
      <c r="F84" s="96"/>
      <c r="G84" s="476" t="s">
        <v>321</v>
      </c>
      <c r="H84" s="476"/>
      <c r="I84" s="476"/>
      <c r="J84" s="96"/>
      <c r="K84" s="37"/>
      <c r="L84" s="37"/>
      <c r="M84"/>
      <c r="N84"/>
      <c r="O84"/>
      <c r="P84" s="24"/>
    </row>
    <row r="85" spans="1:16" s="24" customFormat="1">
      <c r="C85" s="36"/>
      <c r="D85" s="475"/>
      <c r="E85" s="471"/>
      <c r="F85" s="96"/>
      <c r="G85" s="476" t="s">
        <v>319</v>
      </c>
      <c r="H85" s="476"/>
      <c r="I85" s="476"/>
      <c r="J85" s="96"/>
      <c r="K85" s="37"/>
      <c r="L85" s="37"/>
      <c r="P85" s="15"/>
    </row>
    <row r="86" spans="1:16">
      <c r="C86" s="36"/>
      <c r="D86" s="443"/>
      <c r="E86" s="443"/>
      <c r="F86" s="96"/>
      <c r="G86" s="427"/>
      <c r="H86" s="427"/>
      <c r="I86" s="425"/>
      <c r="J86" s="96"/>
      <c r="K86" s="37"/>
      <c r="L86" s="37"/>
      <c r="P86" s="15"/>
    </row>
    <row r="87" spans="1:16" s="24" customFormat="1" ht="15.75" thickBot="1">
      <c r="C87" s="40"/>
      <c r="D87" s="469" t="s">
        <v>145</v>
      </c>
      <c r="E87" s="67"/>
      <c r="F87" s="63"/>
      <c r="G87" s="63"/>
      <c r="H87" s="63"/>
      <c r="I87" s="63"/>
      <c r="J87" s="63"/>
      <c r="K87" s="37"/>
      <c r="L87" s="37"/>
    </row>
    <row r="88" spans="1:16" s="24" customFormat="1" ht="15.75" thickTop="1">
      <c r="C88" s="40"/>
      <c r="D88" s="470"/>
      <c r="E88" s="67"/>
      <c r="F88" s="63"/>
      <c r="G88" s="63"/>
      <c r="H88" s="63"/>
      <c r="I88" s="63"/>
      <c r="J88" s="63"/>
      <c r="K88" s="37"/>
      <c r="L88" s="37"/>
      <c r="M88"/>
      <c r="N88"/>
      <c r="O88"/>
      <c r="P88"/>
    </row>
    <row r="89" spans="1:16" ht="19.5">
      <c r="C89" s="40"/>
      <c r="D89" s="108"/>
      <c r="E89" s="67"/>
      <c r="F89" s="63"/>
      <c r="G89" s="63"/>
      <c r="H89" s="63"/>
      <c r="I89" s="63"/>
      <c r="J89" s="63"/>
      <c r="K89" s="37"/>
      <c r="L89" s="37"/>
      <c r="P89" s="24"/>
    </row>
    <row r="90" spans="1:16">
      <c r="C90" s="40"/>
      <c r="D90" s="69" t="s">
        <v>516</v>
      </c>
      <c r="E90" s="477" t="s">
        <v>126</v>
      </c>
      <c r="F90" s="63"/>
      <c r="G90" s="476" t="s">
        <v>491</v>
      </c>
      <c r="H90" s="476"/>
      <c r="I90" s="476"/>
      <c r="J90" s="63"/>
      <c r="K90" s="37"/>
      <c r="L90" s="37"/>
      <c r="M90" s="24"/>
      <c r="N90" s="24"/>
      <c r="O90" s="24"/>
      <c r="P90" s="24"/>
    </row>
    <row r="91" spans="1:16" s="24" customFormat="1">
      <c r="C91" s="23"/>
      <c r="D91" s="69" t="s">
        <v>517</v>
      </c>
      <c r="E91" s="478"/>
      <c r="F91" s="63"/>
      <c r="G91" s="476" t="s">
        <v>299</v>
      </c>
      <c r="H91" s="476"/>
      <c r="I91" s="476"/>
      <c r="J91" s="63"/>
      <c r="K91" s="37"/>
      <c r="L91" s="37"/>
      <c r="P91"/>
    </row>
    <row r="92" spans="1:16">
      <c r="C92" s="23"/>
      <c r="D92" s="69"/>
      <c r="E92" s="450"/>
      <c r="F92" s="64"/>
      <c r="G92" s="451"/>
      <c r="H92" s="451"/>
      <c r="I92" s="451"/>
      <c r="J92" s="63"/>
      <c r="K92" s="37"/>
      <c r="L92" s="37"/>
    </row>
    <row r="93" spans="1:16" s="24" customFormat="1">
      <c r="C93" s="38"/>
      <c r="D93" s="69" t="s">
        <v>146</v>
      </c>
      <c r="E93" s="472">
        <v>10</v>
      </c>
      <c r="F93" s="63"/>
      <c r="G93" s="476" t="s">
        <v>492</v>
      </c>
      <c r="H93" s="476"/>
      <c r="I93" s="476"/>
      <c r="J93" s="63"/>
      <c r="K93" s="37"/>
      <c r="L93" s="37"/>
    </row>
    <row r="94" spans="1:16">
      <c r="C94" s="38"/>
      <c r="D94" s="69" t="s">
        <v>322</v>
      </c>
      <c r="E94" s="473"/>
      <c r="F94" s="63"/>
      <c r="G94" s="476" t="s">
        <v>299</v>
      </c>
      <c r="H94" s="476"/>
      <c r="I94" s="476"/>
      <c r="J94" s="63"/>
      <c r="K94" s="37"/>
      <c r="L94" s="37"/>
    </row>
    <row r="95" spans="1:16">
      <c r="C95" s="38"/>
      <c r="D95" s="449"/>
      <c r="E95" s="67"/>
      <c r="F95" s="63"/>
      <c r="G95" s="419"/>
      <c r="H95" s="419"/>
      <c r="I95" s="420"/>
      <c r="J95" s="63"/>
      <c r="K95" s="37"/>
      <c r="L95" s="37"/>
      <c r="P95" s="24"/>
    </row>
    <row r="96" spans="1:16" s="24" customFormat="1">
      <c r="C96" s="41"/>
      <c r="D96" s="69" t="s">
        <v>143</v>
      </c>
      <c r="E96" s="474" t="s">
        <v>126</v>
      </c>
      <c r="F96" s="63"/>
      <c r="G96" s="476" t="s">
        <v>493</v>
      </c>
      <c r="H96" s="476"/>
      <c r="I96" s="476"/>
      <c r="J96" s="63"/>
      <c r="K96" s="37"/>
      <c r="L96" s="37"/>
      <c r="M96"/>
      <c r="N96"/>
      <c r="O96"/>
      <c r="P96"/>
    </row>
    <row r="97" spans="2:16" s="24" customFormat="1">
      <c r="C97" s="41"/>
      <c r="D97" s="69" t="s">
        <v>144</v>
      </c>
      <c r="E97" s="474"/>
      <c r="F97" s="63"/>
      <c r="G97" s="476" t="s">
        <v>299</v>
      </c>
      <c r="H97" s="476"/>
      <c r="I97" s="476"/>
      <c r="J97" s="63"/>
      <c r="K97" s="37"/>
      <c r="L97" s="37"/>
      <c r="M97"/>
      <c r="N97"/>
      <c r="O97"/>
      <c r="P97"/>
    </row>
    <row r="98" spans="2:16">
      <c r="C98" s="41"/>
      <c r="D98" s="67"/>
      <c r="E98" s="67"/>
      <c r="F98" s="63"/>
      <c r="G98" s="419"/>
      <c r="H98" s="419"/>
      <c r="I98" s="420"/>
      <c r="J98" s="63"/>
      <c r="K98" s="37"/>
      <c r="L98" s="37"/>
      <c r="P98" s="24"/>
    </row>
    <row r="99" spans="2:16" s="24" customFormat="1">
      <c r="C99" s="41"/>
      <c r="D99" s="69" t="s">
        <v>147</v>
      </c>
      <c r="E99" s="474">
        <v>20</v>
      </c>
      <c r="F99" s="63"/>
      <c r="G99" s="466" t="s">
        <v>494</v>
      </c>
      <c r="H99" s="466"/>
      <c r="I99" s="466"/>
      <c r="J99" s="63"/>
      <c r="K99" s="37"/>
      <c r="L99" s="37"/>
      <c r="M99"/>
      <c r="N99"/>
      <c r="O99"/>
    </row>
    <row r="100" spans="2:16">
      <c r="C100" s="41"/>
      <c r="D100" s="69"/>
      <c r="E100" s="474"/>
      <c r="F100" s="63"/>
      <c r="G100" s="466"/>
      <c r="H100" s="466"/>
      <c r="I100" s="466"/>
      <c r="J100" s="63"/>
      <c r="K100" s="37"/>
      <c r="L100" s="37"/>
    </row>
    <row r="101" spans="2:16">
      <c r="C101" s="38"/>
      <c r="D101" s="69"/>
      <c r="E101" s="69"/>
      <c r="F101" s="63"/>
      <c r="G101" s="419"/>
      <c r="H101" s="419"/>
      <c r="I101" s="420"/>
      <c r="J101" s="63"/>
      <c r="K101" s="37"/>
      <c r="L101" s="37"/>
      <c r="P101" s="24"/>
    </row>
    <row r="102" spans="2:16">
      <c r="C102" s="41"/>
      <c r="D102" s="69" t="s">
        <v>148</v>
      </c>
      <c r="E102" s="471">
        <v>2.2000000000000002</v>
      </c>
      <c r="F102" s="63"/>
      <c r="G102" s="466" t="s">
        <v>495</v>
      </c>
      <c r="H102" s="466"/>
      <c r="I102" s="466"/>
      <c r="J102" s="240"/>
    </row>
    <row r="103" spans="2:16">
      <c r="C103" s="38"/>
      <c r="D103" s="240"/>
      <c r="E103" s="471"/>
      <c r="F103" s="63"/>
      <c r="G103" s="466"/>
      <c r="H103" s="466"/>
      <c r="I103" s="466"/>
      <c r="J103" s="240"/>
    </row>
    <row r="104" spans="2:16">
      <c r="B104" s="35"/>
      <c r="D104" s="240"/>
      <c r="E104" s="69"/>
      <c r="F104" s="63"/>
      <c r="G104" s="419"/>
      <c r="H104" s="419"/>
      <c r="I104" s="420"/>
      <c r="J104" s="63"/>
    </row>
    <row r="105" spans="2:16" ht="15.75" thickBot="1">
      <c r="B105" s="23"/>
      <c r="C105" s="35"/>
      <c r="D105" s="469" t="s">
        <v>141</v>
      </c>
      <c r="E105" s="445"/>
      <c r="F105" s="96"/>
      <c r="G105" s="96"/>
      <c r="H105" s="239"/>
      <c r="I105" s="239"/>
      <c r="J105" s="96"/>
    </row>
    <row r="106" spans="2:16" ht="15.75" thickTop="1">
      <c r="B106" s="23"/>
      <c r="C106" s="38"/>
      <c r="D106" s="470"/>
      <c r="E106" s="445"/>
      <c r="F106" s="96"/>
      <c r="G106" s="96"/>
      <c r="H106" s="239"/>
      <c r="I106" s="239"/>
      <c r="J106" s="96"/>
    </row>
    <row r="107" spans="2:16">
      <c r="B107" s="36"/>
      <c r="C107" s="38"/>
      <c r="D107" s="445"/>
      <c r="E107" s="445"/>
      <c r="F107" s="96"/>
      <c r="G107" s="427"/>
      <c r="H107" s="427"/>
      <c r="I107" s="425"/>
      <c r="J107" s="96"/>
    </row>
    <row r="108" spans="2:16">
      <c r="B108" s="36"/>
      <c r="C108" s="36"/>
      <c r="D108" s="475" t="s">
        <v>149</v>
      </c>
      <c r="E108" s="471">
        <v>1.145</v>
      </c>
      <c r="F108" s="96"/>
      <c r="G108" s="466" t="s">
        <v>496</v>
      </c>
      <c r="H108" s="466"/>
      <c r="I108" s="466"/>
      <c r="J108" s="96"/>
    </row>
    <row r="109" spans="2:16">
      <c r="B109" s="36"/>
      <c r="C109" s="36"/>
      <c r="D109" s="475"/>
      <c r="E109" s="471"/>
      <c r="F109" s="96"/>
      <c r="G109" s="466"/>
      <c r="H109" s="466"/>
      <c r="I109" s="466"/>
      <c r="J109" s="96"/>
    </row>
    <row r="110" spans="2:16">
      <c r="B110" s="36"/>
      <c r="C110" s="36"/>
      <c r="D110" s="443"/>
      <c r="E110" s="443"/>
      <c r="F110" s="96"/>
      <c r="G110" s="427"/>
      <c r="H110" s="427"/>
      <c r="I110" s="425"/>
      <c r="J110" s="96"/>
    </row>
    <row r="111" spans="2:16">
      <c r="B111" s="36"/>
      <c r="C111" s="36"/>
      <c r="D111" s="443" t="s">
        <v>150</v>
      </c>
      <c r="E111" s="471">
        <v>0</v>
      </c>
      <c r="F111" s="96"/>
      <c r="G111" s="466" t="s">
        <v>497</v>
      </c>
      <c r="H111" s="466"/>
      <c r="I111" s="466"/>
      <c r="J111" s="96"/>
    </row>
    <row r="112" spans="2:16">
      <c r="B112" s="36"/>
      <c r="C112" s="36"/>
      <c r="D112" s="443" t="s">
        <v>151</v>
      </c>
      <c r="E112" s="471"/>
      <c r="F112" s="96"/>
      <c r="G112" s="466"/>
      <c r="H112" s="466"/>
      <c r="I112" s="466"/>
      <c r="J112" s="96"/>
    </row>
    <row r="113" spans="2:10">
      <c r="B113" s="36"/>
      <c r="C113" s="36"/>
      <c r="D113" s="96"/>
      <c r="E113" s="445"/>
      <c r="F113" s="96"/>
      <c r="G113" s="427"/>
      <c r="H113" s="427"/>
      <c r="I113" s="425"/>
      <c r="J113" s="96"/>
    </row>
    <row r="114" spans="2:10">
      <c r="C114" s="36"/>
      <c r="D114" s="443" t="s">
        <v>152</v>
      </c>
      <c r="E114" s="471">
        <v>0</v>
      </c>
      <c r="F114" s="96"/>
      <c r="G114" s="466" t="s">
        <v>498</v>
      </c>
      <c r="H114" s="466"/>
      <c r="I114" s="466"/>
      <c r="J114" s="96"/>
    </row>
    <row r="115" spans="2:10">
      <c r="D115" s="443" t="s">
        <v>153</v>
      </c>
      <c r="E115" s="471"/>
      <c r="F115" s="96"/>
      <c r="G115" s="466"/>
      <c r="H115" s="466"/>
      <c r="I115" s="466"/>
      <c r="J115" s="96"/>
    </row>
    <row r="116" spans="2:10">
      <c r="D116" s="96"/>
      <c r="E116" s="96"/>
      <c r="F116" s="96"/>
      <c r="G116" s="427"/>
      <c r="H116" s="427"/>
      <c r="I116" s="425"/>
      <c r="J116" s="96"/>
    </row>
    <row r="117" spans="2:10">
      <c r="D117" s="35"/>
    </row>
    <row r="118" spans="2:10">
      <c r="D118" s="23"/>
    </row>
    <row r="119" spans="2:10">
      <c r="D119" s="23"/>
    </row>
    <row r="120" spans="2:10">
      <c r="D120" s="36"/>
    </row>
    <row r="121" spans="2:10">
      <c r="D121" s="36"/>
    </row>
    <row r="122" spans="2:10">
      <c r="D122" s="36"/>
    </row>
    <row r="123" spans="2:10">
      <c r="D123" s="36"/>
    </row>
    <row r="124" spans="2:10">
      <c r="D124" s="36"/>
    </row>
    <row r="125" spans="2:10">
      <c r="D125" s="36"/>
    </row>
    <row r="126" spans="2:10">
      <c r="D126" s="36"/>
    </row>
  </sheetData>
  <mergeCells count="108">
    <mergeCell ref="D6:D7"/>
    <mergeCell ref="D42:D43"/>
    <mergeCell ref="G9:I9"/>
    <mergeCell ref="G10:I10"/>
    <mergeCell ref="G13:I13"/>
    <mergeCell ref="G12:I12"/>
    <mergeCell ref="G15:I15"/>
    <mergeCell ref="G16:I16"/>
    <mergeCell ref="G18:I18"/>
    <mergeCell ref="G19:I19"/>
    <mergeCell ref="G21:I21"/>
    <mergeCell ref="G22:I22"/>
    <mergeCell ref="G27:I27"/>
    <mergeCell ref="G28:I28"/>
    <mergeCell ref="G30:I30"/>
    <mergeCell ref="G31:I31"/>
    <mergeCell ref="E9:E10"/>
    <mergeCell ref="E12:E13"/>
    <mergeCell ref="D12:D13"/>
    <mergeCell ref="D21:D22"/>
    <mergeCell ref="E21:E22"/>
    <mergeCell ref="G24:I25"/>
    <mergeCell ref="E24:E25"/>
    <mergeCell ref="E27:E28"/>
    <mergeCell ref="D69:D70"/>
    <mergeCell ref="D45:D46"/>
    <mergeCell ref="E45:E46"/>
    <mergeCell ref="D48:D49"/>
    <mergeCell ref="G85:I85"/>
    <mergeCell ref="G93:I93"/>
    <mergeCell ref="G94:I94"/>
    <mergeCell ref="B2:D3"/>
    <mergeCell ref="B4:D4"/>
    <mergeCell ref="D51:D52"/>
    <mergeCell ref="E33:E34"/>
    <mergeCell ref="G33:G34"/>
    <mergeCell ref="H33:I33"/>
    <mergeCell ref="H34:I34"/>
    <mergeCell ref="E36:E37"/>
    <mergeCell ref="G36:G37"/>
    <mergeCell ref="H36:I36"/>
    <mergeCell ref="H37:I37"/>
    <mergeCell ref="D36:D37"/>
    <mergeCell ref="E15:E16"/>
    <mergeCell ref="D15:D16"/>
    <mergeCell ref="E18:E19"/>
    <mergeCell ref="D18:D19"/>
    <mergeCell ref="D24:D25"/>
    <mergeCell ref="G99:I100"/>
    <mergeCell ref="G102:I103"/>
    <mergeCell ref="G108:I109"/>
    <mergeCell ref="E48:E49"/>
    <mergeCell ref="E57:E58"/>
    <mergeCell ref="G58:I58"/>
    <mergeCell ref="G69:I69"/>
    <mergeCell ref="G70:I70"/>
    <mergeCell ref="G48:I49"/>
    <mergeCell ref="G60:I61"/>
    <mergeCell ref="G63:I64"/>
    <mergeCell ref="E72:E73"/>
    <mergeCell ref="G96:I96"/>
    <mergeCell ref="G72:I72"/>
    <mergeCell ref="G84:I84"/>
    <mergeCell ref="D76:E76"/>
    <mergeCell ref="G57:I57"/>
    <mergeCell ref="E69:E70"/>
    <mergeCell ref="D84:D85"/>
    <mergeCell ref="D60:D61"/>
    <mergeCell ref="D72:D73"/>
    <mergeCell ref="E81:E82"/>
    <mergeCell ref="D81:D82"/>
    <mergeCell ref="G73:I73"/>
    <mergeCell ref="E30:E31"/>
    <mergeCell ref="D30:D31"/>
    <mergeCell ref="G39:I40"/>
    <mergeCell ref="G45:I45"/>
    <mergeCell ref="G46:I46"/>
    <mergeCell ref="D39:D40"/>
    <mergeCell ref="E39:E40"/>
    <mergeCell ref="D54:D55"/>
    <mergeCell ref="E54:E55"/>
    <mergeCell ref="G54:G55"/>
    <mergeCell ref="H54:I54"/>
    <mergeCell ref="H55:I55"/>
    <mergeCell ref="G111:I112"/>
    <mergeCell ref="G114:I115"/>
    <mergeCell ref="M6:N7"/>
    <mergeCell ref="M26:N27"/>
    <mergeCell ref="D87:D88"/>
    <mergeCell ref="D105:D106"/>
    <mergeCell ref="E111:E112"/>
    <mergeCell ref="E114:E115"/>
    <mergeCell ref="E93:E94"/>
    <mergeCell ref="E96:E97"/>
    <mergeCell ref="E99:E100"/>
    <mergeCell ref="E102:E103"/>
    <mergeCell ref="E108:E109"/>
    <mergeCell ref="D108:D109"/>
    <mergeCell ref="G97:I97"/>
    <mergeCell ref="E90:E91"/>
    <mergeCell ref="G90:I90"/>
    <mergeCell ref="G91:I91"/>
    <mergeCell ref="E84:E85"/>
    <mergeCell ref="G81:I81"/>
    <mergeCell ref="G82:I82"/>
    <mergeCell ref="D57:D58"/>
    <mergeCell ref="E60:E61"/>
    <mergeCell ref="E63:E64"/>
  </mergeCells>
  <conditionalFormatting sqref="E81:E82 E84:E85">
    <cfRule type="containsText" dxfId="8" priority="3" operator="containsText" text="Enter Here">
      <formula>NOT(ISERROR(SEARCH("Enter Here",E81)))</formula>
    </cfRule>
  </conditionalFormatting>
  <conditionalFormatting sqref="E81:E82 E84:E85">
    <cfRule type="containsText" dxfId="7" priority="1" operator="containsText" text="0">
      <formula>NOT(ISERROR(SEARCH("0",E81)))</formula>
    </cfRule>
  </conditionalFormatting>
  <dataValidations xWindow="662" yWindow="444" count="17">
    <dataValidation type="list" allowBlank="1" showInputMessage="1" showErrorMessage="1" sqref="E96:E97 E90:E91">
      <formula1>"Yes,No"</formula1>
    </dataValidation>
    <dataValidation type="list" allowBlank="1" showInputMessage="1" showErrorMessage="1" sqref="M8 M29">
      <formula1>$N$8:$N$12</formula1>
    </dataValidation>
    <dataValidation type="list" allowBlank="1" showInputMessage="1" showErrorMessage="1" promptTitle="Max. Nominal Size(CA)" prompt="Choose(in mm) from 10,20,40" sqref="E57:E59">
      <formula1>"10,20,40"</formula1>
    </dataValidation>
    <dataValidation type="list" allowBlank="1" showInputMessage="1" showErrorMessage="1" promptTitle="Type of Cement" prompt="Choose OPC or PPC" sqref="I4 E47">
      <formula1>"OPC,PPC"</formula1>
    </dataValidation>
    <dataValidation type="list" allowBlank="1" showInputMessage="1" showErrorMessage="1" promptTitle="Exposure Condition" prompt="As Per IS 456 -2000, Table 5" sqref="E15">
      <formula1>"Mild,Moderate,Severe,Very Severe,Extreme"</formula1>
    </dataValidation>
    <dataValidation type="list" allowBlank="1" showInputMessage="1" showErrorMessage="1" promptTitle="Type of Aggregate" prompt="Choose one among the four categories" sqref="E21">
      <formula1>"Crushed Angular,Sub Angular Aggregate,Gravels With Some Crushed Particles,Rounded Gravels"</formula1>
    </dataValidation>
    <dataValidation allowBlank="1" showInputMessage="1" showErrorMessage="1" promptTitle="Chemical Admixture" prompt="Enter The Name of The Chemical Admixture" sqref="E24:E25"/>
    <dataValidation type="list" allowBlank="1" showInputMessage="1" showErrorMessage="1" promptTitle="Pumping" prompt="Choose &quot;Yes&quot; if pumping is required" sqref="E18">
      <formula1>"Yes,No"</formula1>
    </dataValidation>
    <dataValidation type="list" allowBlank="1" showInputMessage="1" showErrorMessage="1" promptTitle="Type of Concrete" prompt="Choose the type of Concrete - PCC or RCC" sqref="E27">
      <formula1>"Plain Concrete, Reinforced Concrete"</formula1>
    </dataValidation>
    <dataValidation type="list" allowBlank="1" showInputMessage="1" showErrorMessage="1" sqref="E33:E34">
      <formula1>"Assumed Stddev,Value By Cube Strength, Value By Experience"</formula1>
    </dataValidation>
    <dataValidation type="list" allowBlank="1" showInputMessage="1" showErrorMessage="1" sqref="E36:E37">
      <formula1>"IS Method, Value By Experience, Value From Curves"</formula1>
    </dataValidation>
    <dataValidation type="list" allowBlank="1" showInputMessage="1" showErrorMessage="1" sqref="E39:E40">
      <formula1>"IS Method, Surface Index Method, Void Ratio Method"</formula1>
    </dataValidation>
    <dataValidation type="list" allowBlank="1" showInputMessage="1" showErrorMessage="1" promptTitle="Grade Designation for Concrete" prompt="Choose the numeral to supplement M ex. 20 for M20" sqref="E9:E10">
      <formula1>"10,15,20,25,30,35,40,45,50,55"</formula1>
    </dataValidation>
    <dataValidation type="list" allowBlank="1" showInputMessage="1" showErrorMessage="1" sqref="E30:E31">
      <formula1>"Good,Poor"</formula1>
    </dataValidation>
    <dataValidation type="list" allowBlank="1" showInputMessage="1" showErrorMessage="1" promptTitle="Type of Cement" prompt="Choose OPC or PPC" sqref="E45:E46">
      <formula1>"OPC,PPC,Blended Cement"</formula1>
    </dataValidation>
    <dataValidation type="list" allowBlank="1" showInputMessage="1" showErrorMessage="1" sqref="E54:E55">
      <formula1>"By FA Grading Data, Choose From List"</formula1>
    </dataValidation>
    <dataValidation type="list" allowBlank="1" showInputMessage="1" showErrorMessage="1" sqref="G54:G55">
      <formula1>"I,II,III,IV"</formula1>
    </dataValidation>
  </dataValidations>
  <pageMargins left="0.7" right="0.7" top="0.75" bottom="0.75" header="0.3" footer="0.3"/>
  <pageSetup paperSize="9" orientation="portrait" horizontalDpi="4294967293" verticalDpi="4294967293" r:id="rId1"/>
  <legacyDrawing r:id="rId2"/>
  <controls>
    <control shapeId="2051" r:id="rId3" name="OptionButton2"/>
    <control shapeId="2050" r:id="rId4" name="OptionButton1"/>
  </controls>
</worksheet>
</file>

<file path=xl/worksheets/sheet2.xml><?xml version="1.0" encoding="utf-8"?>
<worksheet xmlns="http://schemas.openxmlformats.org/spreadsheetml/2006/main" xmlns:r="http://schemas.openxmlformats.org/officeDocument/2006/relationships">
  <sheetPr codeName="Sheet11"/>
  <dimension ref="B2:W151"/>
  <sheetViews>
    <sheetView topLeftCell="A17" workbookViewId="0">
      <pane xSplit="20100" topLeftCell="P1"/>
      <selection activeCell="L17" sqref="L17"/>
      <selection pane="topRight" activeCell="P2" sqref="P2"/>
    </sheetView>
  </sheetViews>
  <sheetFormatPr defaultRowHeight="15"/>
  <cols>
    <col min="1" max="1" width="7.28515625" style="24" customWidth="1"/>
    <col min="2" max="2" width="6.5703125" style="24" customWidth="1"/>
    <col min="3" max="3" width="6.42578125" style="24" customWidth="1"/>
    <col min="4" max="4" width="33.5703125" style="24" customWidth="1"/>
    <col min="5" max="5" width="10.28515625" style="24" customWidth="1"/>
    <col min="6" max="6" width="12.42578125" style="24" customWidth="1"/>
    <col min="7" max="7" width="11.28515625" style="24" customWidth="1"/>
    <col min="8" max="8" width="7" style="24" customWidth="1"/>
    <col min="9" max="10" width="6.7109375" style="24" customWidth="1"/>
    <col min="11" max="11" width="7.7109375" style="24" customWidth="1"/>
    <col min="12" max="12" width="37.7109375" style="24" customWidth="1"/>
    <col min="13" max="13" width="17.42578125" style="24" customWidth="1"/>
    <col min="14" max="14" width="7.42578125" style="24" customWidth="1"/>
    <col min="15" max="17" width="6.85546875" style="24" customWidth="1"/>
    <col min="18" max="18" width="36.140625" style="24" customWidth="1"/>
    <col min="19" max="19" width="22.140625" style="24" customWidth="1"/>
    <col min="20" max="20" width="9.5703125" style="24" customWidth="1"/>
    <col min="21" max="21" width="23.28515625" style="24" customWidth="1"/>
    <col min="22" max="22" width="22.85546875" style="24" customWidth="1"/>
    <col min="23" max="23" width="21" style="24" customWidth="1"/>
    <col min="24" max="25" width="9.140625" style="24"/>
    <col min="26" max="26" width="33.28515625" style="24" customWidth="1"/>
    <col min="27" max="27" width="9" style="24" customWidth="1"/>
    <col min="28" max="28" width="9.140625" style="24"/>
    <col min="29" max="29" width="9.7109375" style="24" customWidth="1"/>
    <col min="30" max="30" width="13.140625" style="24" customWidth="1"/>
    <col min="31" max="31" width="10.42578125" style="24" customWidth="1"/>
    <col min="32" max="32" width="30.42578125" style="24" customWidth="1"/>
    <col min="33" max="33" width="24.5703125" style="24" customWidth="1"/>
    <col min="34" max="34" width="9.140625" style="24"/>
    <col min="35" max="35" width="11.28515625" style="24" customWidth="1"/>
    <col min="36" max="36" width="32.42578125" style="24" customWidth="1"/>
    <col min="37" max="37" width="22.42578125" style="24" customWidth="1"/>
    <col min="38" max="16384" width="9.140625" style="24"/>
  </cols>
  <sheetData>
    <row r="2" spans="2:20" ht="15" customHeight="1">
      <c r="B2" s="508" t="s">
        <v>155</v>
      </c>
      <c r="C2" s="508"/>
      <c r="D2" s="508"/>
      <c r="E2" s="508"/>
      <c r="F2" s="508"/>
    </row>
    <row r="3" spans="2:20" ht="15" customHeight="1">
      <c r="B3" s="508"/>
      <c r="C3" s="508"/>
      <c r="D3" s="508"/>
      <c r="E3" s="508"/>
      <c r="F3" s="508"/>
    </row>
    <row r="4" spans="2:20">
      <c r="B4" s="509" t="s">
        <v>156</v>
      </c>
      <c r="C4" s="509"/>
      <c r="D4" s="509"/>
      <c r="E4" s="509"/>
      <c r="F4" s="509"/>
    </row>
    <row r="5" spans="2:20">
      <c r="D5" s="32"/>
      <c r="E5" s="32"/>
      <c r="F5" s="32"/>
      <c r="G5" s="32"/>
      <c r="H5" s="32"/>
    </row>
    <row r="6" spans="2:20">
      <c r="D6" s="32"/>
      <c r="E6" s="32"/>
      <c r="F6" s="32"/>
      <c r="G6" s="32"/>
      <c r="H6" s="32"/>
    </row>
    <row r="7" spans="2:20">
      <c r="C7" s="80"/>
      <c r="D7" s="84"/>
      <c r="E7" s="84"/>
      <c r="F7" s="84"/>
      <c r="G7" s="84"/>
      <c r="H7" s="85"/>
      <c r="I7" s="19"/>
      <c r="J7" s="19"/>
      <c r="K7" s="63"/>
      <c r="L7" s="65"/>
      <c r="M7" s="63"/>
      <c r="N7" s="63"/>
      <c r="P7" s="19"/>
      <c r="Q7" s="47"/>
      <c r="R7" s="47"/>
      <c r="S7" s="47"/>
      <c r="T7" s="47"/>
    </row>
    <row r="8" spans="2:20" ht="15.75" customHeight="1" thickBot="1">
      <c r="C8" s="512" t="s">
        <v>33</v>
      </c>
      <c r="D8" s="512"/>
      <c r="E8" s="512"/>
      <c r="F8" s="512"/>
      <c r="G8" s="80"/>
      <c r="H8" s="80"/>
      <c r="I8" s="19"/>
      <c r="J8" s="19"/>
      <c r="K8" s="511" t="s">
        <v>39</v>
      </c>
      <c r="L8" s="511"/>
      <c r="M8" s="511"/>
      <c r="N8" s="63"/>
      <c r="O8" s="20"/>
      <c r="P8" s="20"/>
      <c r="Q8" s="511" t="s">
        <v>129</v>
      </c>
      <c r="R8" s="511"/>
      <c r="S8" s="511"/>
      <c r="T8" s="47"/>
    </row>
    <row r="9" spans="2:20" ht="15.75" customHeight="1" thickTop="1" thickBot="1">
      <c r="C9" s="513"/>
      <c r="D9" s="513"/>
      <c r="E9" s="513"/>
      <c r="F9" s="513"/>
      <c r="G9" s="80"/>
      <c r="H9" s="80"/>
      <c r="I9" s="19"/>
      <c r="J9" s="19"/>
      <c r="K9" s="511"/>
      <c r="L9" s="511"/>
      <c r="M9" s="511"/>
      <c r="N9" s="63"/>
      <c r="P9" s="19"/>
      <c r="Q9" s="511"/>
      <c r="R9" s="511"/>
      <c r="S9" s="511"/>
      <c r="T9" s="47"/>
    </row>
    <row r="10" spans="2:20" ht="15.75" thickTop="1">
      <c r="C10" s="80"/>
      <c r="D10" s="42"/>
      <c r="E10" s="42"/>
      <c r="F10" s="42"/>
      <c r="G10" s="80"/>
      <c r="H10" s="80"/>
      <c r="I10" s="19"/>
      <c r="J10" s="19"/>
      <c r="K10" s="63"/>
      <c r="L10" s="63"/>
      <c r="M10" s="63"/>
      <c r="N10" s="63"/>
      <c r="P10" s="19"/>
      <c r="Q10" s="47"/>
      <c r="R10" s="47"/>
      <c r="S10" s="47"/>
      <c r="T10" s="47"/>
    </row>
    <row r="11" spans="2:20" ht="15.75" customHeight="1" thickBot="1">
      <c r="C11" s="80"/>
      <c r="D11" s="72" t="s">
        <v>363</v>
      </c>
      <c r="E11" s="515" t="s">
        <v>506</v>
      </c>
      <c r="F11" s="515"/>
      <c r="G11" s="515"/>
      <c r="H11" s="80"/>
      <c r="I11" s="19"/>
      <c r="J11" s="19"/>
      <c r="K11" s="63"/>
      <c r="L11" s="468" t="s">
        <v>383</v>
      </c>
      <c r="M11" s="468"/>
      <c r="N11" s="63"/>
      <c r="P11" s="19"/>
      <c r="Q11" s="47"/>
      <c r="R11" s="468" t="s">
        <v>383</v>
      </c>
      <c r="S11" s="468"/>
      <c r="T11" s="47"/>
    </row>
    <row r="12" spans="2:20" ht="16.5" customHeight="1" thickTop="1" thickBot="1">
      <c r="C12" s="80"/>
      <c r="D12" s="42"/>
      <c r="E12" s="42"/>
      <c r="F12" s="42"/>
      <c r="G12" s="42"/>
      <c r="H12" s="80"/>
      <c r="I12" s="19"/>
      <c r="J12" s="19"/>
      <c r="K12" s="63"/>
      <c r="L12" s="468"/>
      <c r="M12" s="468"/>
      <c r="N12" s="63"/>
      <c r="P12" s="19"/>
      <c r="Q12" s="47"/>
      <c r="R12" s="468"/>
      <c r="S12" s="468"/>
      <c r="T12" s="47"/>
    </row>
    <row r="13" spans="2:20" ht="15" customHeight="1" thickTop="1">
      <c r="C13" s="80"/>
      <c r="D13" s="510" t="s">
        <v>368</v>
      </c>
      <c r="E13" s="510"/>
      <c r="F13" s="510"/>
      <c r="G13" s="80"/>
      <c r="H13" s="80"/>
      <c r="I13" s="19"/>
      <c r="J13" s="19"/>
      <c r="K13" s="63"/>
      <c r="L13" s="92"/>
      <c r="M13" s="92"/>
      <c r="N13" s="63"/>
      <c r="P13" s="19"/>
      <c r="Q13" s="47"/>
      <c r="R13" s="50"/>
      <c r="S13" s="50"/>
      <c r="T13" s="47"/>
    </row>
    <row r="14" spans="2:20" ht="15.75" customHeight="1" thickBot="1">
      <c r="C14" s="80"/>
      <c r="D14" s="517"/>
      <c r="E14" s="517"/>
      <c r="F14" s="517"/>
      <c r="G14" s="80"/>
      <c r="H14" s="80"/>
      <c r="I14" s="19"/>
      <c r="J14" s="19"/>
      <c r="K14" s="63"/>
      <c r="L14" s="64" t="s">
        <v>356</v>
      </c>
      <c r="M14" s="414">
        <v>200</v>
      </c>
      <c r="N14" s="63"/>
      <c r="P14" s="19"/>
      <c r="Q14" s="47"/>
      <c r="R14" s="507" t="s">
        <v>357</v>
      </c>
      <c r="S14" s="76"/>
      <c r="T14" s="47"/>
    </row>
    <row r="15" spans="2:20" ht="15.75" customHeight="1" thickTop="1" thickBot="1">
      <c r="C15" s="80"/>
      <c r="D15" s="80"/>
      <c r="E15" s="80"/>
      <c r="F15" s="80"/>
      <c r="G15" s="80"/>
      <c r="H15" s="80"/>
      <c r="I15" s="19"/>
      <c r="J15" s="19"/>
      <c r="K15" s="63"/>
      <c r="L15" s="64" t="s">
        <v>355</v>
      </c>
      <c r="M15" s="67"/>
      <c r="N15" s="63"/>
      <c r="P15" s="19"/>
      <c r="Q15" s="47"/>
      <c r="R15" s="507"/>
      <c r="S15" s="50"/>
      <c r="T15" s="47"/>
    </row>
    <row r="16" spans="2:20" ht="15" customHeight="1">
      <c r="C16" s="80"/>
      <c r="D16" s="72" t="s">
        <v>361</v>
      </c>
      <c r="E16" s="82"/>
      <c r="F16" s="52">
        <v>100</v>
      </c>
      <c r="G16" s="82"/>
      <c r="H16" s="80"/>
      <c r="I16" s="19"/>
      <c r="J16" s="19"/>
      <c r="K16" s="63"/>
      <c r="L16" s="64"/>
      <c r="M16" s="68"/>
      <c r="N16" s="63"/>
      <c r="P16" s="19"/>
      <c r="Q16" s="47"/>
      <c r="R16" s="47"/>
      <c r="S16" s="50"/>
      <c r="T16" s="47"/>
    </row>
    <row r="17" spans="3:23" ht="15" customHeight="1">
      <c r="C17" s="80"/>
      <c r="D17" s="81"/>
      <c r="E17" s="82"/>
      <c r="F17" s="83"/>
      <c r="G17" s="82"/>
      <c r="H17" s="80"/>
      <c r="I17" s="19"/>
      <c r="J17" s="19"/>
      <c r="K17" s="63"/>
      <c r="L17" s="64"/>
      <c r="M17" s="68"/>
      <c r="N17" s="63"/>
      <c r="P17" s="19"/>
      <c r="Q17" s="47"/>
      <c r="R17" s="44" t="s">
        <v>356</v>
      </c>
      <c r="S17" s="411">
        <v>200</v>
      </c>
      <c r="T17" s="47"/>
    </row>
    <row r="18" spans="3:23" ht="15" customHeight="1">
      <c r="C18" s="80"/>
      <c r="D18" s="83" t="s">
        <v>362</v>
      </c>
      <c r="E18" s="82"/>
      <c r="F18" s="52">
        <v>9</v>
      </c>
      <c r="G18" s="82"/>
      <c r="H18" s="80"/>
      <c r="I18" s="19"/>
      <c r="J18" s="19"/>
      <c r="K18" s="63"/>
      <c r="L18" s="64" t="s">
        <v>354</v>
      </c>
      <c r="M18" s="414">
        <v>400</v>
      </c>
      <c r="N18" s="63"/>
      <c r="P18" s="19"/>
      <c r="Q18" s="47"/>
      <c r="R18" s="44" t="s">
        <v>355</v>
      </c>
      <c r="S18" s="413"/>
      <c r="T18" s="47"/>
    </row>
    <row r="19" spans="3:23" ht="15" customHeight="1">
      <c r="C19" s="80"/>
      <c r="D19" s="42"/>
      <c r="E19" s="82"/>
      <c r="F19" s="82"/>
      <c r="G19" s="82"/>
      <c r="H19" s="80"/>
      <c r="I19" s="19"/>
      <c r="J19" s="19"/>
      <c r="K19" s="63"/>
      <c r="L19" s="64" t="s">
        <v>353</v>
      </c>
      <c r="M19" s="67"/>
      <c r="N19" s="63"/>
      <c r="P19" s="19"/>
      <c r="Q19" s="47"/>
      <c r="R19" s="44"/>
      <c r="S19" s="412"/>
      <c r="T19" s="47"/>
    </row>
    <row r="20" spans="3:23" ht="15" customHeight="1">
      <c r="C20" s="80"/>
      <c r="D20" s="42"/>
      <c r="E20" s="82"/>
      <c r="F20" s="82"/>
      <c r="G20" s="84"/>
      <c r="H20" s="80"/>
      <c r="I20" s="19"/>
      <c r="J20" s="19"/>
      <c r="K20" s="63"/>
      <c r="L20" s="64" t="s">
        <v>351</v>
      </c>
      <c r="M20" s="67"/>
      <c r="N20" s="63"/>
      <c r="P20" s="19"/>
      <c r="Q20" s="47"/>
      <c r="R20" s="44" t="s">
        <v>354</v>
      </c>
      <c r="S20" s="47"/>
      <c r="T20" s="47"/>
    </row>
    <row r="21" spans="3:23">
      <c r="C21" s="80"/>
      <c r="D21" s="42"/>
      <c r="E21" s="82"/>
      <c r="F21" s="82"/>
      <c r="G21" s="84"/>
      <c r="H21" s="80"/>
      <c r="I21" s="19"/>
      <c r="J21" s="19"/>
      <c r="K21" s="63"/>
      <c r="L21" s="64"/>
      <c r="M21" s="68"/>
      <c r="N21" s="63"/>
      <c r="P21" s="19"/>
      <c r="Q21" s="47"/>
      <c r="R21" s="44" t="s">
        <v>353</v>
      </c>
      <c r="S21" s="411">
        <v>400</v>
      </c>
      <c r="T21" s="47"/>
    </row>
    <row r="22" spans="3:23" ht="15.75" thickBot="1">
      <c r="C22" s="80"/>
      <c r="D22" s="468" t="s">
        <v>369</v>
      </c>
      <c r="E22" s="468"/>
      <c r="F22" s="468"/>
      <c r="G22" s="82"/>
      <c r="H22" s="80"/>
      <c r="I22" s="19"/>
      <c r="J22" s="19"/>
      <c r="K22" s="63"/>
      <c r="L22" s="64"/>
      <c r="M22" s="68"/>
      <c r="N22" s="63"/>
      <c r="P22" s="19"/>
      <c r="Q22" s="47"/>
      <c r="R22" s="44" t="s">
        <v>351</v>
      </c>
      <c r="S22" s="413"/>
      <c r="T22" s="47"/>
    </row>
    <row r="23" spans="3:23" ht="16.5" thickTop="1" thickBot="1">
      <c r="C23" s="80"/>
      <c r="D23" s="468"/>
      <c r="E23" s="468"/>
      <c r="F23" s="468"/>
      <c r="G23" s="42"/>
      <c r="H23" s="80"/>
      <c r="I23" s="19"/>
      <c r="J23" s="19"/>
      <c r="K23" s="63"/>
      <c r="L23" s="64" t="s">
        <v>349</v>
      </c>
      <c r="M23" s="414">
        <v>250</v>
      </c>
      <c r="N23" s="63"/>
      <c r="P23" s="19"/>
      <c r="Q23" s="47"/>
      <c r="R23" s="44"/>
      <c r="S23" s="412"/>
      <c r="T23" s="47"/>
    </row>
    <row r="24" spans="3:23" ht="15.75" thickTop="1">
      <c r="C24" s="80"/>
      <c r="D24" s="80"/>
      <c r="E24" s="80"/>
      <c r="F24" s="80"/>
      <c r="G24" s="81"/>
      <c r="H24" s="80"/>
      <c r="I24" s="19"/>
      <c r="J24" s="19"/>
      <c r="K24" s="63"/>
      <c r="L24" s="64"/>
      <c r="M24" s="67"/>
      <c r="N24" s="63"/>
      <c r="P24" s="19"/>
      <c r="Q24" s="47"/>
      <c r="R24" s="44" t="s">
        <v>349</v>
      </c>
      <c r="S24" s="514">
        <v>250</v>
      </c>
      <c r="T24" s="47"/>
    </row>
    <row r="25" spans="3:23">
      <c r="C25" s="80"/>
      <c r="D25" s="72" t="s">
        <v>361</v>
      </c>
      <c r="E25" s="82"/>
      <c r="F25" s="51">
        <v>500</v>
      </c>
      <c r="G25" s="81"/>
      <c r="H25" s="80"/>
      <c r="I25" s="19"/>
      <c r="J25" s="19"/>
      <c r="K25" s="63"/>
      <c r="L25" s="64"/>
      <c r="M25" s="67"/>
      <c r="N25" s="63"/>
      <c r="P25" s="19"/>
      <c r="Q25" s="47"/>
      <c r="R25" s="44" t="s">
        <v>347</v>
      </c>
      <c r="S25" s="514"/>
      <c r="T25" s="76"/>
      <c r="U25" s="58"/>
      <c r="V25" s="58"/>
    </row>
    <row r="26" spans="3:23">
      <c r="C26" s="80"/>
      <c r="D26" s="42"/>
      <c r="E26" s="42"/>
      <c r="F26" s="42"/>
      <c r="G26" s="81"/>
      <c r="H26" s="80"/>
      <c r="I26" s="19"/>
      <c r="J26" s="19"/>
      <c r="K26" s="63"/>
      <c r="L26" s="64" t="s">
        <v>347</v>
      </c>
      <c r="M26" s="414">
        <v>190</v>
      </c>
      <c r="N26" s="63"/>
      <c r="P26" s="19"/>
      <c r="Q26" s="47"/>
      <c r="R26" s="44" t="s">
        <v>345</v>
      </c>
      <c r="S26" s="514"/>
      <c r="T26" s="76"/>
      <c r="U26" s="58"/>
      <c r="V26" s="58"/>
    </row>
    <row r="27" spans="3:23">
      <c r="C27" s="80"/>
      <c r="D27" s="72" t="s">
        <v>360</v>
      </c>
      <c r="E27" s="80"/>
      <c r="F27" s="80"/>
      <c r="G27" s="42"/>
      <c r="H27" s="80"/>
      <c r="I27" s="19"/>
      <c r="J27" s="19"/>
      <c r="K27" s="63"/>
      <c r="L27" s="64" t="s">
        <v>345</v>
      </c>
      <c r="M27" s="67"/>
      <c r="N27" s="63"/>
      <c r="P27" s="19"/>
      <c r="Q27" s="47"/>
      <c r="R27" s="44"/>
      <c r="S27" s="413"/>
      <c r="T27" s="76"/>
      <c r="U27" s="58"/>
      <c r="V27" s="58"/>
    </row>
    <row r="28" spans="3:23">
      <c r="C28" s="80"/>
      <c r="D28" s="72" t="s">
        <v>359</v>
      </c>
      <c r="E28" s="81"/>
      <c r="F28" s="52">
        <v>150</v>
      </c>
      <c r="G28" s="84"/>
      <c r="H28" s="80"/>
      <c r="I28" s="19"/>
      <c r="J28" s="19"/>
      <c r="K28" s="63"/>
      <c r="L28" s="64"/>
      <c r="M28" s="68"/>
      <c r="N28" s="63"/>
      <c r="P28" s="19"/>
      <c r="Q28" s="47"/>
      <c r="R28" s="44"/>
      <c r="S28" s="412"/>
      <c r="T28" s="76"/>
      <c r="U28" s="58"/>
      <c r="V28" s="58"/>
    </row>
    <row r="29" spans="3:23">
      <c r="C29" s="80"/>
      <c r="D29" s="72" t="s">
        <v>358</v>
      </c>
      <c r="E29" s="81"/>
      <c r="F29" s="81"/>
      <c r="G29" s="84"/>
      <c r="H29" s="80"/>
      <c r="I29" s="19"/>
      <c r="J29" s="19"/>
      <c r="K29" s="63"/>
      <c r="L29" s="64"/>
      <c r="M29" s="68"/>
      <c r="N29" s="63"/>
      <c r="P29" s="19"/>
      <c r="Q29" s="47"/>
      <c r="R29" s="44" t="s">
        <v>344</v>
      </c>
      <c r="S29" s="411">
        <v>190</v>
      </c>
      <c r="T29" s="76"/>
      <c r="U29" s="58"/>
      <c r="V29" s="58"/>
    </row>
    <row r="30" spans="3:23">
      <c r="C30" s="80"/>
      <c r="D30" s="42"/>
      <c r="E30" s="42"/>
      <c r="F30" s="42"/>
      <c r="G30" s="81"/>
      <c r="H30" s="80"/>
      <c r="I30" s="19"/>
      <c r="J30" s="19"/>
      <c r="K30" s="63"/>
      <c r="L30" s="64" t="s">
        <v>344</v>
      </c>
      <c r="M30" s="414">
        <v>190</v>
      </c>
      <c r="N30" s="63"/>
      <c r="P30" s="19"/>
      <c r="Q30" s="47"/>
      <c r="R30" s="44" t="s">
        <v>343</v>
      </c>
      <c r="S30" s="413"/>
      <c r="T30" s="76"/>
      <c r="U30" s="58"/>
      <c r="V30" s="58"/>
      <c r="W30" s="20"/>
    </row>
    <row r="31" spans="3:23">
      <c r="C31" s="80"/>
      <c r="D31" s="42"/>
      <c r="E31" s="42"/>
      <c r="F31" s="42"/>
      <c r="G31" s="81"/>
      <c r="H31" s="80"/>
      <c r="I31" s="19"/>
      <c r="J31" s="19"/>
      <c r="K31" s="63"/>
      <c r="L31" s="64" t="s">
        <v>343</v>
      </c>
      <c r="M31" s="67"/>
      <c r="N31" s="63"/>
      <c r="P31" s="19"/>
      <c r="Q31" s="47"/>
      <c r="R31" s="44"/>
      <c r="S31" s="44"/>
      <c r="T31" s="76"/>
      <c r="U31" s="58"/>
      <c r="V31" s="58"/>
      <c r="W31" s="35"/>
    </row>
    <row r="32" spans="3:23" ht="15.75" customHeight="1" thickBot="1">
      <c r="C32" s="80"/>
      <c r="D32" s="42"/>
      <c r="E32" s="42"/>
      <c r="F32" s="42"/>
      <c r="G32" s="81"/>
      <c r="H32" s="80"/>
      <c r="I32" s="19"/>
      <c r="J32" s="19"/>
      <c r="K32" s="63"/>
      <c r="L32" s="64"/>
      <c r="M32" s="64"/>
      <c r="N32" s="63"/>
      <c r="P32" s="19"/>
      <c r="Q32" s="47"/>
      <c r="R32" s="507" t="s">
        <v>357</v>
      </c>
      <c r="S32" s="76"/>
      <c r="T32" s="76"/>
      <c r="U32" s="58"/>
      <c r="V32" s="58"/>
      <c r="W32" s="35"/>
    </row>
    <row r="33" spans="3:23" ht="16.5" customHeight="1" thickBot="1">
      <c r="C33" s="80"/>
      <c r="D33" s="510" t="s">
        <v>370</v>
      </c>
      <c r="E33" s="510"/>
      <c r="F33" s="510"/>
      <c r="G33" s="42"/>
      <c r="H33" s="80"/>
      <c r="I33" s="19"/>
      <c r="J33" s="19"/>
      <c r="K33" s="63"/>
      <c r="L33" s="64"/>
      <c r="M33" s="64"/>
      <c r="N33" s="63"/>
      <c r="P33" s="19"/>
      <c r="Q33" s="47"/>
      <c r="R33" s="507"/>
      <c r="S33" s="76"/>
      <c r="T33" s="76"/>
      <c r="U33" s="58"/>
      <c r="V33" s="58"/>
      <c r="W33" s="23"/>
    </row>
    <row r="34" spans="3:23" ht="18" customHeight="1" thickBot="1">
      <c r="C34" s="80"/>
      <c r="D34" s="468"/>
      <c r="E34" s="468"/>
      <c r="F34" s="468"/>
      <c r="G34" s="81"/>
      <c r="H34" s="80"/>
      <c r="I34" s="19"/>
      <c r="J34" s="19"/>
      <c r="K34" s="63"/>
      <c r="L34" s="510" t="s">
        <v>384</v>
      </c>
      <c r="M34" s="510"/>
      <c r="N34" s="63"/>
      <c r="P34" s="19"/>
      <c r="Q34" s="47"/>
      <c r="R34" s="47"/>
      <c r="S34" s="76"/>
      <c r="T34" s="76"/>
      <c r="U34" s="58"/>
      <c r="V34" s="58"/>
      <c r="W34" s="36"/>
    </row>
    <row r="35" spans="3:23" ht="18" customHeight="1" thickTop="1" thickBot="1">
      <c r="C35" s="80"/>
      <c r="D35" s="80"/>
      <c r="E35" s="80"/>
      <c r="F35" s="80"/>
      <c r="G35" s="81"/>
      <c r="H35" s="80"/>
      <c r="I35" s="19"/>
      <c r="J35" s="19"/>
      <c r="K35" s="63"/>
      <c r="L35" s="468"/>
      <c r="M35" s="468"/>
      <c r="N35" s="63"/>
      <c r="P35" s="19"/>
      <c r="Q35" s="47"/>
      <c r="R35" s="44" t="s">
        <v>502</v>
      </c>
      <c r="S35" s="411">
        <v>200</v>
      </c>
      <c r="T35" s="76"/>
      <c r="U35" s="58"/>
      <c r="V35" s="58"/>
      <c r="W35" s="36"/>
    </row>
    <row r="36" spans="3:23" ht="15.75" thickTop="1">
      <c r="C36" s="80"/>
      <c r="D36" s="72" t="s">
        <v>350</v>
      </c>
      <c r="E36" s="80"/>
      <c r="F36" s="80"/>
      <c r="G36" s="81"/>
      <c r="H36" s="80"/>
      <c r="I36" s="19"/>
      <c r="J36" s="19"/>
      <c r="K36" s="63"/>
      <c r="L36" s="69"/>
      <c r="M36" s="69"/>
      <c r="N36" s="63"/>
      <c r="P36" s="19"/>
      <c r="Q36" s="47"/>
      <c r="R36" s="44" t="s">
        <v>503</v>
      </c>
      <c r="S36" s="413"/>
      <c r="T36" s="76"/>
      <c r="U36" s="58"/>
      <c r="V36" s="58"/>
      <c r="W36" s="36"/>
    </row>
    <row r="37" spans="3:23">
      <c r="C37" s="80"/>
      <c r="D37" s="72" t="s">
        <v>348</v>
      </c>
      <c r="E37" s="81"/>
      <c r="F37" s="52">
        <v>10</v>
      </c>
      <c r="G37" s="81"/>
      <c r="H37" s="80"/>
      <c r="I37" s="19"/>
      <c r="J37" s="19"/>
      <c r="K37" s="63"/>
      <c r="L37" s="63"/>
      <c r="M37" s="63"/>
      <c r="N37" s="63"/>
      <c r="P37" s="19"/>
      <c r="Q37" s="47"/>
      <c r="R37" s="44"/>
      <c r="S37" s="412"/>
      <c r="T37" s="76"/>
      <c r="U37" s="58"/>
      <c r="V37" s="58"/>
      <c r="W37" s="36"/>
    </row>
    <row r="38" spans="3:23">
      <c r="C38" s="80"/>
      <c r="D38" s="72" t="s">
        <v>352</v>
      </c>
      <c r="E38" s="81"/>
      <c r="F38" s="81"/>
      <c r="G38" s="42"/>
      <c r="H38" s="80"/>
      <c r="I38" s="19"/>
      <c r="J38" s="19"/>
      <c r="K38" s="63"/>
      <c r="L38" s="64" t="s">
        <v>342</v>
      </c>
      <c r="M38" s="236">
        <f>25</f>
        <v>25</v>
      </c>
      <c r="N38" s="63"/>
      <c r="P38" s="19"/>
      <c r="Q38" s="47"/>
      <c r="R38" s="47" t="s">
        <v>504</v>
      </c>
      <c r="S38" s="31">
        <v>50</v>
      </c>
      <c r="T38" s="47"/>
      <c r="U38" s="58"/>
      <c r="V38" s="58"/>
      <c r="W38" s="36"/>
    </row>
    <row r="39" spans="3:23">
      <c r="C39" s="80"/>
      <c r="D39" s="86"/>
      <c r="E39" s="42"/>
      <c r="F39" s="42"/>
      <c r="G39" s="84"/>
      <c r="H39" s="80"/>
      <c r="I39" s="19"/>
      <c r="J39" s="19"/>
      <c r="K39" s="63"/>
      <c r="L39" s="64"/>
      <c r="M39" s="68"/>
      <c r="N39" s="63"/>
      <c r="P39" s="19"/>
      <c r="Q39" s="47"/>
      <c r="R39" s="47"/>
      <c r="S39" s="47"/>
      <c r="T39" s="47"/>
      <c r="U39" s="58"/>
      <c r="V39" s="58"/>
      <c r="W39" s="36"/>
    </row>
    <row r="40" spans="3:23">
      <c r="C40" s="80"/>
      <c r="D40" s="72" t="s">
        <v>350</v>
      </c>
      <c r="E40" s="80"/>
      <c r="F40" s="80"/>
      <c r="G40" s="84"/>
      <c r="H40" s="80"/>
      <c r="I40" s="19"/>
      <c r="J40" s="19"/>
      <c r="K40" s="63"/>
      <c r="L40" s="64" t="s">
        <v>341</v>
      </c>
      <c r="M40" s="236">
        <v>20</v>
      </c>
      <c r="N40" s="63"/>
      <c r="P40" s="19"/>
      <c r="Q40" s="47"/>
      <c r="R40" s="44" t="s">
        <v>340</v>
      </c>
      <c r="S40" s="94"/>
      <c r="T40" s="76"/>
      <c r="V40" s="36"/>
      <c r="W40" s="36"/>
    </row>
    <row r="41" spans="3:23">
      <c r="C41" s="80"/>
      <c r="D41" s="72" t="s">
        <v>348</v>
      </c>
      <c r="E41" s="81"/>
      <c r="F41" s="52">
        <v>13</v>
      </c>
      <c r="G41" s="81"/>
      <c r="H41" s="80"/>
      <c r="I41" s="19"/>
      <c r="J41" s="19"/>
      <c r="K41" s="63"/>
      <c r="L41" s="64"/>
      <c r="M41" s="64"/>
      <c r="N41" s="63"/>
      <c r="P41" s="19"/>
      <c r="Q41" s="47"/>
      <c r="R41" s="44" t="s">
        <v>339</v>
      </c>
      <c r="S41" s="411">
        <v>210</v>
      </c>
      <c r="T41" s="76"/>
      <c r="V41" s="36"/>
      <c r="W41" s="36"/>
    </row>
    <row r="42" spans="3:23">
      <c r="C42" s="80"/>
      <c r="D42" s="72" t="s">
        <v>346</v>
      </c>
      <c r="E42" s="81"/>
      <c r="F42" s="81"/>
      <c r="G42" s="81"/>
      <c r="H42" s="80"/>
      <c r="I42" s="19"/>
      <c r="J42" s="19"/>
      <c r="K42" s="63"/>
      <c r="L42" s="64"/>
      <c r="M42" s="64"/>
      <c r="N42" s="63"/>
      <c r="P42" s="19"/>
      <c r="Q42" s="47"/>
      <c r="R42" s="44"/>
      <c r="S42" s="413"/>
      <c r="T42" s="47"/>
      <c r="V42" s="36"/>
      <c r="W42" s="36"/>
    </row>
    <row r="43" spans="3:23">
      <c r="C43" s="80"/>
      <c r="D43" s="42"/>
      <c r="E43" s="42"/>
      <c r="F43" s="42"/>
      <c r="G43" s="81"/>
      <c r="H43" s="80"/>
      <c r="I43" s="19"/>
      <c r="J43" s="19"/>
      <c r="K43" s="63"/>
      <c r="L43" s="64"/>
      <c r="M43" s="64"/>
      <c r="N43" s="63"/>
      <c r="P43" s="19"/>
      <c r="Q43" s="47"/>
      <c r="R43" s="44" t="s">
        <v>337</v>
      </c>
      <c r="S43" s="411">
        <v>190</v>
      </c>
      <c r="T43" s="47"/>
      <c r="V43" s="23"/>
      <c r="W43" s="23"/>
    </row>
    <row r="44" spans="3:23" ht="15" customHeight="1" thickBot="1">
      <c r="C44" s="80"/>
      <c r="D44" s="42"/>
      <c r="E44" s="42"/>
      <c r="F44" s="42"/>
      <c r="G44" s="81"/>
      <c r="H44" s="80"/>
      <c r="I44" s="19"/>
      <c r="J44" s="19"/>
      <c r="K44" s="63"/>
      <c r="L44" s="468" t="s">
        <v>385</v>
      </c>
      <c r="M44" s="468"/>
      <c r="N44" s="63"/>
      <c r="Q44" s="47"/>
      <c r="R44" s="44" t="s">
        <v>335</v>
      </c>
      <c r="S44" s="66"/>
      <c r="T44" s="47"/>
      <c r="V44" s="23"/>
      <c r="W44" s="23"/>
    </row>
    <row r="45" spans="3:23" ht="15" customHeight="1" thickTop="1" thickBot="1">
      <c r="C45" s="80"/>
      <c r="D45" s="42"/>
      <c r="E45" s="42"/>
      <c r="F45" s="42"/>
      <c r="G45" s="42"/>
      <c r="H45" s="80"/>
      <c r="I45" s="19"/>
      <c r="J45" s="19"/>
      <c r="K45" s="63"/>
      <c r="L45" s="468"/>
      <c r="M45" s="468"/>
      <c r="N45" s="63"/>
      <c r="Q45" s="47"/>
      <c r="R45" s="44"/>
      <c r="S45" s="413"/>
      <c r="T45" s="47"/>
      <c r="V45" s="20"/>
      <c r="W45" s="20"/>
    </row>
    <row r="46" spans="3:23" ht="16.5" thickTop="1" thickBot="1">
      <c r="C46" s="80"/>
      <c r="D46" s="468" t="s">
        <v>371</v>
      </c>
      <c r="E46" s="468"/>
      <c r="F46" s="468"/>
      <c r="G46" s="81"/>
      <c r="H46" s="80"/>
      <c r="I46" s="19"/>
      <c r="J46" s="19"/>
      <c r="K46" s="63"/>
      <c r="L46" s="69"/>
      <c r="M46" s="69"/>
      <c r="N46" s="63"/>
      <c r="Q46" s="47"/>
      <c r="R46" s="47"/>
      <c r="S46" s="47"/>
      <c r="T46" s="47"/>
      <c r="V46" s="35"/>
      <c r="W46" s="35"/>
    </row>
    <row r="47" spans="3:23" ht="16.5" thickTop="1" thickBot="1">
      <c r="C47" s="80"/>
      <c r="D47" s="468"/>
      <c r="E47" s="468"/>
      <c r="F47" s="468"/>
      <c r="G47" s="81"/>
      <c r="H47" s="80"/>
      <c r="I47" s="19"/>
      <c r="J47" s="19"/>
      <c r="K47" s="63"/>
      <c r="L47" s="69"/>
      <c r="M47" s="69"/>
      <c r="N47" s="63"/>
      <c r="Q47" s="47"/>
      <c r="R47" s="47"/>
      <c r="S47" s="47"/>
      <c r="T47" s="47"/>
      <c r="V47" s="35"/>
      <c r="W47" s="35"/>
    </row>
    <row r="48" spans="3:23" ht="16.5" thickTop="1" thickBot="1">
      <c r="C48" s="80"/>
      <c r="D48" s="80"/>
      <c r="E48" s="80"/>
      <c r="F48" s="80"/>
      <c r="G48" s="81"/>
      <c r="H48" s="80"/>
      <c r="I48" s="19"/>
      <c r="J48" s="19"/>
      <c r="K48" s="63"/>
      <c r="L48" s="64" t="s">
        <v>338</v>
      </c>
      <c r="M48" s="414">
        <v>200</v>
      </c>
      <c r="N48" s="63"/>
      <c r="Q48" s="44"/>
      <c r="R48" s="468" t="s">
        <v>505</v>
      </c>
      <c r="S48" s="468"/>
      <c r="T48" s="44"/>
      <c r="V48" s="23"/>
      <c r="W48" s="23"/>
    </row>
    <row r="49" spans="3:23" ht="16.5" thickTop="1" thickBot="1">
      <c r="C49" s="80"/>
      <c r="D49" s="72" t="s">
        <v>374</v>
      </c>
      <c r="E49" s="80"/>
      <c r="F49" s="80"/>
      <c r="G49" s="81"/>
      <c r="H49" s="80"/>
      <c r="I49" s="19"/>
      <c r="J49" s="19"/>
      <c r="K49" s="63"/>
      <c r="L49" s="64" t="s">
        <v>336</v>
      </c>
      <c r="M49" s="93"/>
      <c r="N49" s="63"/>
      <c r="Q49" s="44"/>
      <c r="R49" s="468"/>
      <c r="S49" s="468"/>
      <c r="T49" s="44"/>
      <c r="V49" s="36"/>
      <c r="W49" s="36"/>
    </row>
    <row r="50" spans="3:23" ht="15.75" thickTop="1">
      <c r="C50" s="80"/>
      <c r="D50" s="72" t="s">
        <v>375</v>
      </c>
      <c r="E50" s="81"/>
      <c r="F50" s="516">
        <v>20</v>
      </c>
      <c r="G50" s="81"/>
      <c r="H50" s="80"/>
      <c r="I50" s="19"/>
      <c r="J50" s="19"/>
      <c r="K50" s="63"/>
      <c r="L50" s="64"/>
      <c r="M50" s="67"/>
      <c r="N50" s="63"/>
      <c r="Q50" s="47"/>
      <c r="R50" s="47"/>
      <c r="S50" s="47"/>
      <c r="T50" s="47"/>
      <c r="V50" s="36"/>
      <c r="W50" s="36"/>
    </row>
    <row r="51" spans="3:23">
      <c r="C51" s="80"/>
      <c r="D51" s="72" t="s">
        <v>376</v>
      </c>
      <c r="E51" s="81"/>
      <c r="F51" s="516"/>
      <c r="G51" s="42"/>
      <c r="H51" s="80"/>
      <c r="I51" s="19"/>
      <c r="J51" s="19"/>
      <c r="K51" s="63"/>
      <c r="L51" s="64" t="s">
        <v>334</v>
      </c>
      <c r="M51" s="414">
        <v>20</v>
      </c>
      <c r="N51" s="63"/>
      <c r="Q51" s="47"/>
      <c r="R51" s="47"/>
      <c r="S51" s="47"/>
      <c r="T51" s="47"/>
      <c r="V51" s="36"/>
      <c r="W51" s="36"/>
    </row>
    <row r="52" spans="3:23">
      <c r="C52" s="80"/>
      <c r="D52" s="72" t="s">
        <v>377</v>
      </c>
      <c r="E52" s="81"/>
      <c r="F52" s="83"/>
      <c r="G52" s="80"/>
      <c r="H52" s="80"/>
      <c r="I52" s="19"/>
      <c r="J52" s="19"/>
      <c r="K52" s="63"/>
      <c r="L52" s="64" t="s">
        <v>333</v>
      </c>
      <c r="M52" s="67"/>
      <c r="N52" s="63"/>
      <c r="Q52" s="44"/>
      <c r="R52" s="44" t="s">
        <v>338</v>
      </c>
      <c r="S52" s="514">
        <v>200</v>
      </c>
      <c r="T52" s="44"/>
      <c r="V52" s="36"/>
      <c r="W52" s="36"/>
    </row>
    <row r="53" spans="3:23">
      <c r="C53" s="80"/>
      <c r="D53" s="86"/>
      <c r="E53" s="42"/>
      <c r="F53" s="72"/>
      <c r="G53" s="80"/>
      <c r="H53" s="80"/>
      <c r="I53" s="19"/>
      <c r="J53" s="19"/>
      <c r="K53" s="63"/>
      <c r="L53" s="64"/>
      <c r="M53" s="68"/>
      <c r="N53" s="63"/>
      <c r="Q53" s="44"/>
      <c r="R53" s="44" t="s">
        <v>336</v>
      </c>
      <c r="S53" s="514"/>
      <c r="T53" s="44"/>
      <c r="V53" s="36"/>
      <c r="W53" s="36"/>
    </row>
    <row r="54" spans="3:23">
      <c r="C54" s="80"/>
      <c r="D54" s="72" t="s">
        <v>378</v>
      </c>
      <c r="E54" s="80"/>
      <c r="F54" s="80"/>
      <c r="G54" s="80"/>
      <c r="H54" s="80"/>
      <c r="I54" s="19"/>
      <c r="J54" s="19"/>
      <c r="K54" s="63"/>
      <c r="L54" s="64" t="s">
        <v>328</v>
      </c>
      <c r="M54" s="414">
        <v>190</v>
      </c>
      <c r="N54" s="63"/>
      <c r="Q54" s="44"/>
      <c r="R54" s="44"/>
      <c r="S54" s="412"/>
      <c r="T54" s="44"/>
      <c r="V54" s="36"/>
      <c r="W54" s="36"/>
    </row>
    <row r="55" spans="3:23">
      <c r="C55" s="80"/>
      <c r="D55" s="72" t="s">
        <v>379</v>
      </c>
      <c r="E55" s="81"/>
      <c r="F55" s="516">
        <v>500</v>
      </c>
      <c r="G55" s="80"/>
      <c r="H55" s="80"/>
      <c r="I55" s="19"/>
      <c r="J55" s="19"/>
      <c r="K55" s="63"/>
      <c r="L55" s="64" t="s">
        <v>326</v>
      </c>
      <c r="M55" s="67"/>
      <c r="N55" s="63"/>
      <c r="Q55" s="44"/>
      <c r="R55" s="44" t="s">
        <v>334</v>
      </c>
      <c r="S55" s="514">
        <v>20</v>
      </c>
      <c r="T55" s="44"/>
      <c r="V55" s="36"/>
      <c r="W55" s="36"/>
    </row>
    <row r="56" spans="3:23">
      <c r="C56" s="80"/>
      <c r="D56" s="72" t="s">
        <v>382</v>
      </c>
      <c r="E56" s="81"/>
      <c r="F56" s="516"/>
      <c r="G56" s="80"/>
      <c r="H56" s="80"/>
      <c r="I56" s="19"/>
      <c r="J56" s="19"/>
      <c r="K56" s="63"/>
      <c r="L56" s="64"/>
      <c r="M56" s="93"/>
      <c r="N56" s="63"/>
      <c r="Q56" s="44"/>
      <c r="R56" s="44" t="s">
        <v>333</v>
      </c>
      <c r="S56" s="514"/>
      <c r="T56" s="44"/>
      <c r="V56" s="36"/>
      <c r="W56" s="36"/>
    </row>
    <row r="57" spans="3:23">
      <c r="C57" s="80"/>
      <c r="D57" s="72" t="s">
        <v>381</v>
      </c>
      <c r="E57" s="81"/>
      <c r="F57" s="83"/>
      <c r="G57" s="80"/>
      <c r="H57" s="80"/>
      <c r="I57" s="19"/>
      <c r="J57" s="19"/>
      <c r="K57" s="63"/>
      <c r="L57" s="64" t="s">
        <v>323</v>
      </c>
      <c r="M57" s="414">
        <v>75</v>
      </c>
      <c r="N57" s="63"/>
      <c r="Q57" s="44"/>
      <c r="R57" s="44"/>
      <c r="S57" s="412"/>
      <c r="T57" s="44"/>
    </row>
    <row r="58" spans="3:23">
      <c r="C58" s="80"/>
      <c r="D58" s="72" t="s">
        <v>380</v>
      </c>
      <c r="E58" s="81"/>
      <c r="F58" s="83"/>
      <c r="G58" s="80"/>
      <c r="H58" s="80"/>
      <c r="I58" s="19"/>
      <c r="J58" s="19"/>
      <c r="K58" s="63"/>
      <c r="L58" s="64"/>
      <c r="M58" s="64"/>
      <c r="N58" s="63"/>
      <c r="Q58" s="44"/>
      <c r="R58" s="44" t="s">
        <v>328</v>
      </c>
      <c r="S58" s="514">
        <v>190</v>
      </c>
      <c r="T58" s="44"/>
    </row>
    <row r="59" spans="3:23">
      <c r="C59" s="80"/>
      <c r="D59" s="42"/>
      <c r="E59" s="42"/>
      <c r="F59" s="80"/>
      <c r="G59" s="80"/>
      <c r="H59" s="80"/>
      <c r="I59" s="19"/>
      <c r="J59" s="19"/>
      <c r="K59" s="63"/>
      <c r="L59" s="64"/>
      <c r="M59" s="64"/>
      <c r="N59" s="63"/>
      <c r="Q59" s="44"/>
      <c r="R59" s="44" t="s">
        <v>326</v>
      </c>
      <c r="S59" s="514"/>
      <c r="T59" s="44"/>
    </row>
    <row r="60" spans="3:23">
      <c r="C60" s="80"/>
      <c r="D60" s="42"/>
      <c r="E60" s="42"/>
      <c r="F60" s="42"/>
      <c r="G60" s="80"/>
      <c r="H60" s="80"/>
      <c r="I60" s="19"/>
      <c r="J60" s="19"/>
      <c r="K60" s="63"/>
      <c r="L60" s="64"/>
      <c r="M60" s="64"/>
      <c r="N60" s="63"/>
      <c r="Q60" s="44"/>
      <c r="R60" s="44"/>
      <c r="S60" s="514">
        <v>75</v>
      </c>
      <c r="T60" s="44"/>
    </row>
    <row r="61" spans="3:23">
      <c r="C61" s="80"/>
      <c r="D61" s="42"/>
      <c r="E61" s="42"/>
      <c r="F61" s="42"/>
      <c r="G61" s="80"/>
      <c r="H61" s="80"/>
      <c r="I61" s="19"/>
      <c r="J61" s="19"/>
      <c r="K61" s="19"/>
      <c r="Q61" s="44"/>
      <c r="R61" s="44" t="s">
        <v>323</v>
      </c>
      <c r="S61" s="514"/>
      <c r="T61" s="44"/>
    </row>
    <row r="62" spans="3:23" ht="15.75" thickBot="1">
      <c r="C62" s="80"/>
      <c r="D62" s="468" t="s">
        <v>372</v>
      </c>
      <c r="E62" s="468"/>
      <c r="F62" s="468"/>
      <c r="G62" s="468"/>
      <c r="H62" s="80"/>
      <c r="I62" s="19"/>
      <c r="J62" s="19"/>
      <c r="K62" s="19"/>
      <c r="Q62" s="47"/>
      <c r="R62" s="44"/>
      <c r="S62" s="44"/>
      <c r="T62" s="47"/>
    </row>
    <row r="63" spans="3:23" ht="16.5" thickTop="1" thickBot="1">
      <c r="C63" s="80"/>
      <c r="D63" s="468"/>
      <c r="E63" s="468"/>
      <c r="F63" s="468"/>
      <c r="G63" s="468"/>
      <c r="H63" s="80"/>
      <c r="I63" s="19"/>
      <c r="J63" s="19"/>
      <c r="K63" s="19"/>
      <c r="Q63" s="47"/>
      <c r="R63" s="47"/>
      <c r="S63" s="47"/>
      <c r="T63" s="47"/>
    </row>
    <row r="64" spans="3:23" ht="15.75" thickTop="1">
      <c r="C64" s="80"/>
      <c r="D64" s="80"/>
      <c r="E64" s="80"/>
      <c r="F64" s="80"/>
      <c r="G64" s="80"/>
      <c r="H64" s="80"/>
      <c r="I64" s="19"/>
      <c r="J64" s="19"/>
      <c r="K64" s="19"/>
      <c r="R64" s="23"/>
      <c r="S64" s="23"/>
    </row>
    <row r="65" spans="3:19">
      <c r="C65" s="80"/>
      <c r="D65" s="42"/>
      <c r="E65" s="515" t="s">
        <v>373</v>
      </c>
      <c r="F65" s="515"/>
      <c r="G65" s="515"/>
      <c r="H65" s="80"/>
      <c r="I65" s="19"/>
      <c r="J65" s="19"/>
      <c r="K65" s="19"/>
      <c r="R65" s="23"/>
      <c r="S65" s="23"/>
    </row>
    <row r="66" spans="3:19">
      <c r="C66" s="80"/>
      <c r="D66" s="72" t="s">
        <v>332</v>
      </c>
      <c r="E66" s="72" t="s">
        <v>331</v>
      </c>
      <c r="F66" s="72" t="s">
        <v>330</v>
      </c>
      <c r="G66" s="72" t="s">
        <v>329</v>
      </c>
      <c r="H66" s="80"/>
      <c r="I66" s="19"/>
      <c r="J66" s="19"/>
      <c r="K66" s="19"/>
      <c r="R66" s="23"/>
      <c r="S66" s="23"/>
    </row>
    <row r="67" spans="3:19">
      <c r="C67" s="80"/>
      <c r="D67" s="72"/>
      <c r="E67" s="72"/>
      <c r="F67" s="72"/>
      <c r="G67" s="72"/>
      <c r="H67" s="80"/>
      <c r="I67" s="19"/>
      <c r="J67" s="19"/>
      <c r="K67" s="19"/>
      <c r="R67" s="23"/>
      <c r="S67" s="23"/>
    </row>
    <row r="68" spans="3:19">
      <c r="C68" s="80"/>
      <c r="D68" s="87" t="s">
        <v>327</v>
      </c>
      <c r="E68" s="88">
        <v>42.3</v>
      </c>
      <c r="F68" s="89">
        <v>42.3</v>
      </c>
      <c r="G68" s="51">
        <v>42.3</v>
      </c>
      <c r="H68" s="80"/>
      <c r="I68" s="19"/>
      <c r="J68" s="19"/>
      <c r="K68" s="19"/>
      <c r="R68" s="23"/>
      <c r="S68" s="23"/>
    </row>
    <row r="69" spans="3:19">
      <c r="C69" s="80"/>
      <c r="D69" s="87"/>
      <c r="E69" s="90"/>
      <c r="F69" s="91"/>
      <c r="G69" s="72"/>
      <c r="H69" s="80"/>
      <c r="I69" s="19"/>
      <c r="J69" s="19"/>
      <c r="K69" s="19"/>
      <c r="R69" s="23"/>
      <c r="S69" s="23"/>
    </row>
    <row r="70" spans="3:19">
      <c r="C70" s="80"/>
      <c r="D70" s="87" t="s">
        <v>325</v>
      </c>
      <c r="E70" s="88">
        <v>51.6</v>
      </c>
      <c r="F70" s="89">
        <v>51.6</v>
      </c>
      <c r="G70" s="51">
        <v>51.6</v>
      </c>
      <c r="H70" s="80"/>
      <c r="I70" s="19"/>
      <c r="J70" s="19"/>
      <c r="K70" s="19"/>
      <c r="R70" s="23"/>
      <c r="S70" s="23"/>
    </row>
    <row r="71" spans="3:19">
      <c r="C71" s="80"/>
      <c r="D71" s="87"/>
      <c r="E71" s="90"/>
      <c r="F71" s="91"/>
      <c r="G71" s="72"/>
      <c r="H71" s="80"/>
      <c r="I71" s="19"/>
      <c r="J71" s="19"/>
      <c r="K71" s="19"/>
      <c r="R71" s="23"/>
      <c r="S71" s="23"/>
    </row>
    <row r="72" spans="3:19">
      <c r="C72" s="80"/>
      <c r="D72" s="87" t="s">
        <v>324</v>
      </c>
      <c r="E72" s="88">
        <v>71.3</v>
      </c>
      <c r="F72" s="89">
        <v>71.3</v>
      </c>
      <c r="G72" s="51">
        <v>71.3</v>
      </c>
      <c r="H72" s="80"/>
      <c r="I72" s="19"/>
      <c r="J72" s="19"/>
      <c r="K72" s="19"/>
      <c r="R72" s="23"/>
      <c r="S72" s="23"/>
    </row>
    <row r="73" spans="3:19">
      <c r="C73" s="80"/>
      <c r="D73" s="84"/>
      <c r="E73" s="84"/>
      <c r="F73" s="84"/>
      <c r="G73" s="80"/>
      <c r="H73" s="80"/>
      <c r="I73" s="19"/>
      <c r="J73" s="19"/>
      <c r="K73" s="19"/>
      <c r="R73" s="23"/>
      <c r="S73" s="23"/>
    </row>
    <row r="74" spans="3:19">
      <c r="C74" s="80"/>
      <c r="D74" s="84"/>
      <c r="E74" s="84"/>
      <c r="F74" s="84"/>
      <c r="G74" s="80"/>
      <c r="H74" s="80"/>
      <c r="I74" s="19"/>
      <c r="J74" s="19"/>
      <c r="K74" s="19"/>
      <c r="R74" s="23"/>
      <c r="S74" s="23"/>
    </row>
    <row r="75" spans="3:19">
      <c r="D75" s="58"/>
      <c r="E75" s="58"/>
      <c r="F75" s="58"/>
      <c r="G75" s="19"/>
      <c r="H75" s="19"/>
      <c r="I75" s="19"/>
      <c r="J75" s="19"/>
      <c r="K75" s="19"/>
      <c r="R75" s="23"/>
      <c r="S75" s="23"/>
    </row>
    <row r="76" spans="3:19">
      <c r="D76" s="58"/>
      <c r="E76" s="58"/>
      <c r="F76" s="58"/>
      <c r="H76" s="19"/>
      <c r="I76" s="19"/>
      <c r="J76" s="19"/>
      <c r="K76" s="19"/>
      <c r="R76" s="23"/>
      <c r="S76" s="23"/>
    </row>
    <row r="77" spans="3:19">
      <c r="D77" s="58"/>
      <c r="E77" s="58"/>
      <c r="F77" s="58"/>
      <c r="H77" s="19"/>
      <c r="I77" s="19"/>
      <c r="J77" s="19"/>
      <c r="K77" s="19"/>
      <c r="R77" s="23"/>
      <c r="S77" s="23"/>
    </row>
    <row r="78" spans="3:19">
      <c r="D78" s="58"/>
      <c r="E78" s="58"/>
      <c r="F78" s="58"/>
      <c r="H78" s="19"/>
      <c r="I78" s="19"/>
      <c r="J78" s="19"/>
      <c r="K78" s="19"/>
      <c r="R78" s="23"/>
      <c r="S78" s="23"/>
    </row>
    <row r="79" spans="3:19">
      <c r="D79" s="58"/>
      <c r="E79" s="58"/>
      <c r="F79" s="58"/>
      <c r="H79" s="19"/>
      <c r="I79" s="19"/>
      <c r="J79" s="19"/>
      <c r="K79" s="19"/>
      <c r="R79" s="23"/>
      <c r="S79" s="23"/>
    </row>
    <row r="80" spans="3:19">
      <c r="D80" s="58"/>
      <c r="E80" s="58"/>
      <c r="F80" s="58"/>
      <c r="H80" s="19"/>
      <c r="I80" s="19"/>
      <c r="J80" s="19"/>
      <c r="K80" s="19"/>
      <c r="R80" s="23"/>
      <c r="S80" s="23"/>
    </row>
    <row r="81" spans="4:19">
      <c r="D81" s="58"/>
      <c r="E81" s="58"/>
      <c r="F81" s="58"/>
      <c r="H81" s="19"/>
      <c r="I81" s="19"/>
      <c r="J81" s="19"/>
      <c r="K81" s="19"/>
      <c r="R81" s="23"/>
      <c r="S81" s="23"/>
    </row>
    <row r="82" spans="4:19">
      <c r="D82" s="58"/>
      <c r="E82" s="58"/>
      <c r="F82" s="58"/>
      <c r="H82" s="19"/>
      <c r="I82" s="19"/>
      <c r="J82" s="19"/>
      <c r="K82" s="19"/>
      <c r="R82" s="23"/>
      <c r="S82" s="23"/>
    </row>
    <row r="83" spans="4:19">
      <c r="D83" s="58"/>
      <c r="E83" s="58"/>
      <c r="F83" s="58"/>
      <c r="H83" s="19"/>
      <c r="I83" s="19"/>
      <c r="J83" s="19"/>
      <c r="K83" s="19"/>
      <c r="R83" s="23"/>
      <c r="S83" s="23"/>
    </row>
    <row r="84" spans="4:19">
      <c r="D84" s="58"/>
      <c r="E84" s="58"/>
      <c r="F84" s="58"/>
      <c r="H84" s="19"/>
      <c r="I84" s="19"/>
      <c r="J84" s="19"/>
      <c r="K84" s="19"/>
      <c r="R84" s="23"/>
      <c r="S84" s="23"/>
    </row>
    <row r="85" spans="4:19">
      <c r="D85" s="58"/>
      <c r="E85" s="58"/>
      <c r="F85" s="58"/>
      <c r="H85" s="19"/>
      <c r="I85" s="19"/>
      <c r="J85" s="19"/>
      <c r="K85" s="19"/>
      <c r="R85" s="23"/>
      <c r="S85" s="23"/>
    </row>
    <row r="86" spans="4:19">
      <c r="D86" s="58"/>
      <c r="E86" s="58"/>
      <c r="F86" s="58"/>
      <c r="H86" s="19"/>
      <c r="I86" s="19"/>
      <c r="J86" s="19"/>
      <c r="K86" s="19"/>
      <c r="R86" s="23"/>
      <c r="S86" s="23"/>
    </row>
    <row r="87" spans="4:19">
      <c r="D87" s="58"/>
      <c r="E87" s="58"/>
      <c r="F87" s="58"/>
      <c r="H87" s="19"/>
      <c r="I87" s="19"/>
      <c r="J87" s="19"/>
      <c r="K87" s="19"/>
      <c r="R87" s="23"/>
      <c r="S87" s="23"/>
    </row>
    <row r="88" spans="4:19">
      <c r="D88" s="58"/>
      <c r="E88" s="58"/>
      <c r="F88" s="58"/>
      <c r="H88" s="19"/>
      <c r="I88" s="19"/>
      <c r="J88" s="19"/>
      <c r="K88" s="19"/>
      <c r="R88" s="23"/>
      <c r="S88" s="23"/>
    </row>
    <row r="89" spans="4:19">
      <c r="D89" s="58"/>
      <c r="E89" s="58"/>
      <c r="F89" s="58"/>
      <c r="H89" s="19"/>
      <c r="I89" s="19"/>
      <c r="J89" s="19"/>
      <c r="K89" s="19"/>
      <c r="R89" s="23"/>
      <c r="S89" s="23"/>
    </row>
    <row r="90" spans="4:19">
      <c r="D90" s="58"/>
      <c r="E90" s="58"/>
      <c r="F90" s="58"/>
      <c r="H90" s="19"/>
      <c r="I90" s="19"/>
      <c r="J90" s="19"/>
      <c r="K90" s="19"/>
      <c r="R90" s="23"/>
      <c r="S90" s="23"/>
    </row>
    <row r="91" spans="4:19">
      <c r="D91" s="58"/>
      <c r="E91" s="58"/>
      <c r="F91" s="58"/>
      <c r="H91" s="19"/>
      <c r="I91" s="19"/>
      <c r="J91" s="19"/>
      <c r="K91" s="19"/>
      <c r="R91" s="23"/>
      <c r="S91" s="23"/>
    </row>
    <row r="92" spans="4:19">
      <c r="D92" s="58"/>
      <c r="E92" s="58"/>
      <c r="F92" s="58"/>
      <c r="H92" s="19"/>
      <c r="I92" s="19"/>
      <c r="J92" s="19"/>
      <c r="K92" s="19"/>
      <c r="R92" s="23"/>
      <c r="S92" s="23"/>
    </row>
    <row r="93" spans="4:19">
      <c r="D93" s="58"/>
      <c r="E93" s="58"/>
      <c r="F93" s="58"/>
      <c r="H93" s="19"/>
      <c r="I93" s="19"/>
      <c r="J93" s="19"/>
      <c r="K93" s="19"/>
      <c r="R93" s="23"/>
      <c r="S93" s="23"/>
    </row>
    <row r="94" spans="4:19">
      <c r="D94" s="58"/>
      <c r="E94" s="58"/>
      <c r="F94" s="58"/>
      <c r="H94" s="19"/>
      <c r="I94" s="19"/>
      <c r="J94" s="19"/>
      <c r="K94" s="19"/>
      <c r="R94" s="23"/>
      <c r="S94" s="23"/>
    </row>
    <row r="95" spans="4:19">
      <c r="D95" s="58"/>
      <c r="E95" s="58"/>
      <c r="F95" s="58"/>
      <c r="H95" s="19"/>
      <c r="I95" s="19"/>
      <c r="J95" s="19"/>
      <c r="K95" s="19"/>
      <c r="R95" s="23"/>
      <c r="S95" s="23"/>
    </row>
    <row r="96" spans="4:19">
      <c r="D96" s="58"/>
      <c r="E96" s="58"/>
      <c r="F96" s="58"/>
      <c r="H96" s="19"/>
      <c r="I96" s="19"/>
      <c r="J96" s="19"/>
      <c r="K96" s="19"/>
      <c r="R96" s="23"/>
      <c r="S96" s="23"/>
    </row>
    <row r="97" spans="4:19">
      <c r="D97" s="58"/>
      <c r="E97" s="58"/>
      <c r="F97" s="58"/>
      <c r="H97" s="19"/>
      <c r="I97" s="19"/>
      <c r="J97" s="19"/>
      <c r="K97" s="19"/>
      <c r="R97" s="23"/>
      <c r="S97" s="23"/>
    </row>
    <row r="98" spans="4:19">
      <c r="D98" s="58"/>
      <c r="E98" s="58"/>
      <c r="F98" s="58"/>
      <c r="H98" s="19"/>
      <c r="I98" s="19"/>
      <c r="J98" s="19"/>
      <c r="K98" s="19"/>
      <c r="R98" s="23"/>
      <c r="S98" s="23"/>
    </row>
    <row r="99" spans="4:19">
      <c r="D99" s="58"/>
      <c r="E99" s="58"/>
      <c r="F99" s="58"/>
      <c r="H99" s="19"/>
      <c r="I99" s="19"/>
      <c r="J99" s="19"/>
      <c r="K99" s="19"/>
      <c r="R99" s="23"/>
      <c r="S99" s="23"/>
    </row>
    <row r="100" spans="4:19">
      <c r="D100" s="58"/>
      <c r="E100" s="58"/>
      <c r="F100" s="58"/>
      <c r="H100" s="19"/>
      <c r="I100" s="19"/>
      <c r="J100" s="19"/>
      <c r="K100" s="19"/>
      <c r="R100" s="23"/>
      <c r="S100" s="23"/>
    </row>
    <row r="101" spans="4:19">
      <c r="D101" s="58"/>
      <c r="E101" s="58"/>
      <c r="F101" s="58"/>
      <c r="H101" s="19"/>
      <c r="I101" s="19"/>
      <c r="J101" s="19"/>
      <c r="K101" s="19"/>
      <c r="R101" s="23"/>
      <c r="S101" s="23"/>
    </row>
    <row r="102" spans="4:19">
      <c r="D102" s="58"/>
      <c r="E102" s="58"/>
      <c r="F102" s="58"/>
      <c r="H102" s="19"/>
      <c r="I102" s="19"/>
      <c r="J102" s="19"/>
      <c r="K102" s="19"/>
      <c r="R102" s="23"/>
      <c r="S102" s="23"/>
    </row>
    <row r="103" spans="4:19">
      <c r="D103" s="58"/>
      <c r="E103" s="58"/>
      <c r="F103" s="58"/>
      <c r="H103" s="19"/>
      <c r="I103" s="19"/>
      <c r="J103" s="19"/>
      <c r="K103" s="19"/>
      <c r="R103" s="23"/>
      <c r="S103" s="23"/>
    </row>
    <row r="104" spans="4:19">
      <c r="D104" s="58"/>
      <c r="E104" s="58"/>
      <c r="F104" s="58"/>
      <c r="H104" s="19"/>
      <c r="I104" s="19"/>
      <c r="J104" s="19"/>
      <c r="K104" s="19"/>
    </row>
    <row r="105" spans="4:19">
      <c r="D105" s="58"/>
      <c r="E105" s="58"/>
      <c r="F105" s="58"/>
      <c r="H105" s="19"/>
      <c r="I105" s="19"/>
      <c r="J105" s="19"/>
      <c r="K105" s="19"/>
    </row>
    <row r="106" spans="4:19">
      <c r="D106" s="58"/>
      <c r="E106" s="58"/>
      <c r="F106" s="58"/>
      <c r="H106" s="19"/>
      <c r="I106" s="19"/>
      <c r="J106" s="19"/>
      <c r="K106" s="19"/>
    </row>
    <row r="107" spans="4:19">
      <c r="D107" s="58"/>
      <c r="E107" s="58"/>
      <c r="F107" s="58"/>
      <c r="H107" s="19"/>
      <c r="I107" s="19"/>
      <c r="J107" s="19"/>
      <c r="K107" s="19"/>
    </row>
    <row r="108" spans="4:19">
      <c r="D108" s="58"/>
      <c r="E108" s="58"/>
      <c r="F108" s="58"/>
      <c r="H108" s="19"/>
      <c r="I108" s="19"/>
      <c r="J108" s="19"/>
      <c r="K108" s="19"/>
    </row>
    <row r="109" spans="4:19">
      <c r="D109" s="58"/>
      <c r="E109" s="58"/>
      <c r="F109" s="58"/>
      <c r="H109" s="19"/>
      <c r="I109" s="19"/>
      <c r="J109" s="19"/>
      <c r="K109" s="19"/>
    </row>
    <row r="110" spans="4:19">
      <c r="D110" s="58"/>
      <c r="E110" s="58"/>
      <c r="F110" s="58"/>
      <c r="H110" s="19"/>
      <c r="I110" s="19"/>
      <c r="J110" s="19"/>
      <c r="K110" s="19"/>
    </row>
    <row r="111" spans="4:19">
      <c r="D111" s="58"/>
      <c r="E111" s="58"/>
      <c r="F111" s="58"/>
      <c r="H111" s="19"/>
    </row>
    <row r="112" spans="4:19">
      <c r="D112" s="58"/>
      <c r="E112" s="58"/>
      <c r="F112" s="58"/>
    </row>
    <row r="113" spans="4:6">
      <c r="D113" s="58"/>
      <c r="E113" s="58"/>
      <c r="F113" s="58"/>
    </row>
    <row r="114" spans="4:6">
      <c r="D114" s="58"/>
      <c r="E114" s="58"/>
      <c r="F114" s="58"/>
    </row>
    <row r="115" spans="4:6">
      <c r="D115" s="58"/>
      <c r="E115" s="58"/>
      <c r="F115" s="58"/>
    </row>
    <row r="116" spans="4:6">
      <c r="D116" s="58"/>
      <c r="E116" s="58"/>
      <c r="F116" s="58"/>
    </row>
    <row r="117" spans="4:6">
      <c r="D117" s="58"/>
      <c r="E117" s="58"/>
      <c r="F117" s="58"/>
    </row>
    <row r="118" spans="4:6">
      <c r="D118" s="58"/>
      <c r="E118" s="58"/>
      <c r="F118" s="58"/>
    </row>
    <row r="119" spans="4:6">
      <c r="D119" s="58"/>
      <c r="E119" s="58"/>
      <c r="F119" s="58"/>
    </row>
    <row r="120" spans="4:6">
      <c r="D120" s="58"/>
      <c r="E120" s="58"/>
      <c r="F120" s="58"/>
    </row>
    <row r="121" spans="4:6">
      <c r="D121" s="58"/>
      <c r="E121" s="58"/>
      <c r="F121" s="58"/>
    </row>
    <row r="122" spans="4:6">
      <c r="D122" s="58"/>
      <c r="E122" s="58"/>
      <c r="F122" s="58"/>
    </row>
    <row r="123" spans="4:6">
      <c r="D123" s="58"/>
      <c r="E123" s="58"/>
      <c r="F123" s="58"/>
    </row>
    <row r="124" spans="4:6">
      <c r="D124" s="58"/>
      <c r="E124" s="58"/>
      <c r="F124" s="58"/>
    </row>
    <row r="125" spans="4:6">
      <c r="D125" s="58"/>
      <c r="E125" s="58"/>
      <c r="F125" s="58"/>
    </row>
    <row r="126" spans="4:6">
      <c r="D126" s="58"/>
      <c r="E126" s="58"/>
      <c r="F126" s="58"/>
    </row>
    <row r="127" spans="4:6">
      <c r="D127" s="58"/>
      <c r="E127" s="58"/>
      <c r="F127" s="58"/>
    </row>
    <row r="128" spans="4:6">
      <c r="D128" s="58"/>
      <c r="E128" s="58"/>
      <c r="F128" s="58"/>
    </row>
    <row r="129" spans="4:6">
      <c r="D129" s="58"/>
      <c r="E129" s="58"/>
      <c r="F129" s="58"/>
    </row>
    <row r="130" spans="4:6">
      <c r="D130" s="58"/>
      <c r="E130" s="58"/>
      <c r="F130" s="58"/>
    </row>
    <row r="131" spans="4:6">
      <c r="D131" s="58"/>
      <c r="E131" s="58"/>
      <c r="F131" s="58"/>
    </row>
    <row r="132" spans="4:6">
      <c r="D132" s="58"/>
      <c r="E132" s="58"/>
      <c r="F132" s="58"/>
    </row>
    <row r="133" spans="4:6">
      <c r="D133" s="58"/>
      <c r="E133" s="58"/>
      <c r="F133" s="58"/>
    </row>
    <row r="134" spans="4:6">
      <c r="D134" s="58"/>
      <c r="E134" s="58"/>
      <c r="F134" s="58"/>
    </row>
    <row r="135" spans="4:6">
      <c r="D135" s="58"/>
      <c r="E135" s="58"/>
      <c r="F135" s="58"/>
    </row>
    <row r="136" spans="4:6">
      <c r="D136" s="58"/>
      <c r="E136" s="58"/>
      <c r="F136" s="58"/>
    </row>
    <row r="137" spans="4:6">
      <c r="D137" s="58"/>
      <c r="E137" s="58"/>
      <c r="F137" s="58"/>
    </row>
    <row r="138" spans="4:6">
      <c r="D138" s="58"/>
      <c r="E138" s="58"/>
      <c r="F138" s="58"/>
    </row>
    <row r="139" spans="4:6">
      <c r="D139" s="58"/>
      <c r="E139" s="58"/>
      <c r="F139" s="58"/>
    </row>
    <row r="140" spans="4:6">
      <c r="D140" s="58"/>
      <c r="E140" s="58"/>
      <c r="F140" s="58"/>
    </row>
    <row r="141" spans="4:6">
      <c r="D141" s="58"/>
      <c r="E141" s="58"/>
      <c r="F141" s="58"/>
    </row>
    <row r="142" spans="4:6">
      <c r="D142" s="58"/>
      <c r="E142" s="58"/>
      <c r="F142" s="58"/>
    </row>
    <row r="143" spans="4:6">
      <c r="D143" s="58"/>
      <c r="E143" s="58"/>
      <c r="F143" s="58"/>
    </row>
    <row r="144" spans="4:6">
      <c r="D144" s="58"/>
      <c r="E144" s="58"/>
      <c r="F144" s="58"/>
    </row>
    <row r="145" spans="4:6">
      <c r="D145" s="58"/>
      <c r="E145" s="58"/>
      <c r="F145" s="58"/>
    </row>
    <row r="146" spans="4:6">
      <c r="D146" s="58"/>
      <c r="E146" s="58"/>
      <c r="F146" s="58"/>
    </row>
    <row r="147" spans="4:6">
      <c r="D147" s="58"/>
      <c r="E147" s="58"/>
      <c r="F147" s="58"/>
    </row>
    <row r="148" spans="4:6">
      <c r="D148" s="58"/>
      <c r="E148" s="58"/>
      <c r="F148" s="58"/>
    </row>
    <row r="149" spans="4:6">
      <c r="D149" s="58"/>
      <c r="E149" s="58"/>
      <c r="F149" s="58"/>
    </row>
    <row r="150" spans="4:6">
      <c r="D150" s="23"/>
      <c r="E150" s="23"/>
      <c r="F150" s="23"/>
    </row>
    <row r="151" spans="4:6">
      <c r="D151" s="23"/>
      <c r="E151" s="23"/>
      <c r="F151" s="23"/>
    </row>
  </sheetData>
  <mergeCells count="26">
    <mergeCell ref="R48:S49"/>
    <mergeCell ref="S52:S53"/>
    <mergeCell ref="S55:S56"/>
    <mergeCell ref="S58:S59"/>
    <mergeCell ref="S60:S61"/>
    <mergeCell ref="D62:G63"/>
    <mergeCell ref="E65:G65"/>
    <mergeCell ref="F55:F56"/>
    <mergeCell ref="F50:F51"/>
    <mergeCell ref="L11:M12"/>
    <mergeCell ref="E11:G11"/>
    <mergeCell ref="L44:M45"/>
    <mergeCell ref="D13:F14"/>
    <mergeCell ref="D22:F23"/>
    <mergeCell ref="D33:F34"/>
    <mergeCell ref="D46:F47"/>
    <mergeCell ref="R14:R15"/>
    <mergeCell ref="R32:R33"/>
    <mergeCell ref="B2:F3"/>
    <mergeCell ref="B4:F4"/>
    <mergeCell ref="L34:M35"/>
    <mergeCell ref="K8:M9"/>
    <mergeCell ref="Q8:S9"/>
    <mergeCell ref="C8:F9"/>
    <mergeCell ref="R11:S12"/>
    <mergeCell ref="S24:S26"/>
  </mergeCells>
  <dataValidations count="1">
    <dataValidation type="list" allowBlank="1" showInputMessage="1" showErrorMessage="1" sqref="E11">
      <formula1>"OPC 53,OPC 43,OPC 33,PPC"</formula1>
    </dataValidation>
  </dataValidations>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sheetPr codeName="Sheet10"/>
  <dimension ref="B2:AK80"/>
  <sheetViews>
    <sheetView topLeftCell="A35" workbookViewId="0">
      <selection activeCell="G24" sqref="G24"/>
    </sheetView>
  </sheetViews>
  <sheetFormatPr defaultRowHeight="15"/>
  <cols>
    <col min="1" max="1" width="7.5703125" style="24" customWidth="1"/>
    <col min="2" max="2" width="5.140625" style="24" customWidth="1"/>
    <col min="3" max="3" width="10.140625" style="24" customWidth="1"/>
    <col min="4" max="4" width="6.42578125" style="24" customWidth="1"/>
    <col min="5" max="5" width="15.140625" style="24" customWidth="1"/>
    <col min="6" max="6" width="6.28515625" style="24" customWidth="1"/>
    <col min="7" max="7" width="17.140625" style="24" customWidth="1"/>
    <col min="8" max="8" width="6" style="24" customWidth="1"/>
    <col min="9" max="9" width="17" style="24" customWidth="1"/>
    <col min="10" max="10" width="4" style="24" customWidth="1"/>
    <col min="11" max="12" width="6.42578125" style="24" customWidth="1"/>
    <col min="13" max="13" width="6.85546875" style="24" customWidth="1"/>
    <col min="14" max="14" width="39.42578125" style="24" customWidth="1"/>
    <col min="15" max="15" width="18.140625" style="24" customWidth="1"/>
    <col min="16" max="16" width="6.5703125" style="24" customWidth="1"/>
    <col min="17" max="18" width="5.85546875" style="24" customWidth="1"/>
    <col min="19" max="19" width="5.7109375" style="24" customWidth="1"/>
    <col min="20" max="20" width="26" style="24" customWidth="1"/>
    <col min="21" max="21" width="23.28515625" style="24" customWidth="1"/>
    <col min="22" max="22" width="6.28515625" style="24" customWidth="1"/>
    <col min="23" max="23" width="21" style="24" customWidth="1"/>
    <col min="24" max="24" width="9.140625" style="24"/>
    <col min="25" max="25" width="6.7109375" style="24" customWidth="1"/>
    <col min="26" max="26" width="26.28515625" style="24" customWidth="1"/>
    <col min="27" max="27" width="21.5703125" style="24" customWidth="1"/>
    <col min="28" max="28" width="16.140625" style="24" customWidth="1"/>
    <col min="29" max="29" width="14.42578125" style="24" customWidth="1"/>
    <col min="30" max="30" width="13.140625" style="24" customWidth="1"/>
    <col min="31" max="16384" width="9.140625" style="24"/>
  </cols>
  <sheetData>
    <row r="2" spans="2:37" ht="15" customHeight="1" thickBot="1">
      <c r="C2" s="511" t="s">
        <v>155</v>
      </c>
      <c r="D2" s="511"/>
      <c r="E2" s="511"/>
      <c r="F2" s="511"/>
      <c r="G2" s="511"/>
      <c r="H2" s="511"/>
      <c r="I2" s="511"/>
      <c r="J2" s="511"/>
    </row>
    <row r="3" spans="2:37" ht="16.5" thickTop="1" thickBot="1">
      <c r="C3" s="511"/>
      <c r="D3" s="511"/>
      <c r="E3" s="511"/>
      <c r="F3" s="511"/>
      <c r="G3" s="511"/>
      <c r="H3" s="511"/>
      <c r="I3" s="511"/>
      <c r="J3" s="511"/>
    </row>
    <row r="4" spans="2:37" ht="15.75" thickTop="1">
      <c r="C4" s="521" t="s">
        <v>156</v>
      </c>
      <c r="D4" s="522"/>
      <c r="E4" s="522"/>
      <c r="F4" s="522"/>
      <c r="G4" s="522"/>
      <c r="H4" s="522"/>
      <c r="I4" s="522"/>
      <c r="J4" s="523"/>
    </row>
    <row r="5" spans="2:37">
      <c r="C5" s="32"/>
      <c r="D5" s="32"/>
      <c r="E5" s="32"/>
      <c r="F5" s="32"/>
      <c r="G5" s="32"/>
      <c r="H5" s="32"/>
      <c r="I5" s="32"/>
      <c r="J5" s="32"/>
    </row>
    <row r="6" spans="2:37">
      <c r="C6" s="32"/>
      <c r="D6" s="32"/>
      <c r="E6" s="32"/>
      <c r="F6" s="32"/>
      <c r="G6" s="32"/>
      <c r="H6" s="32"/>
      <c r="I6" s="32"/>
      <c r="J6" s="32"/>
    </row>
    <row r="7" spans="2:37">
      <c r="J7" s="32"/>
      <c r="M7" s="20"/>
      <c r="P7" s="20"/>
    </row>
    <row r="8" spans="2:37" ht="15" customHeight="1">
      <c r="B8" s="53"/>
      <c r="C8" s="53"/>
      <c r="D8" s="53"/>
      <c r="E8" s="53"/>
      <c r="F8" s="53"/>
      <c r="G8" s="53"/>
      <c r="H8" s="53"/>
      <c r="I8" s="53"/>
      <c r="J8" s="57"/>
      <c r="M8" s="65"/>
      <c r="N8" s="63"/>
      <c r="O8" s="63"/>
      <c r="P8" s="65"/>
      <c r="S8" s="60"/>
      <c r="T8" s="60"/>
      <c r="U8" s="60"/>
      <c r="V8" s="60"/>
      <c r="Y8" s="47"/>
      <c r="Z8" s="47"/>
      <c r="AA8" s="47"/>
      <c r="AB8" s="47"/>
      <c r="AC8" s="47"/>
      <c r="AD8" s="463"/>
      <c r="AE8" s="463"/>
      <c r="AF8" s="463"/>
      <c r="AG8" s="463"/>
      <c r="AH8" s="463"/>
      <c r="AI8" s="463"/>
      <c r="AJ8" s="463"/>
      <c r="AK8" s="47"/>
    </row>
    <row r="9" spans="2:37" ht="15.75" customHeight="1" thickBot="1">
      <c r="B9" s="520" t="s">
        <v>276</v>
      </c>
      <c r="C9" s="520"/>
      <c r="D9" s="520"/>
      <c r="E9" s="520"/>
      <c r="F9" s="520"/>
      <c r="G9" s="520"/>
      <c r="H9" s="520"/>
      <c r="I9" s="57"/>
      <c r="J9" s="57"/>
      <c r="M9" s="512" t="s">
        <v>278</v>
      </c>
      <c r="N9" s="512"/>
      <c r="O9" s="512"/>
      <c r="P9" s="63"/>
      <c r="S9" s="511" t="s">
        <v>279</v>
      </c>
      <c r="T9" s="511"/>
      <c r="U9" s="511"/>
      <c r="V9" s="60"/>
      <c r="Y9" s="47"/>
      <c r="Z9" s="520" t="s">
        <v>535</v>
      </c>
      <c r="AA9" s="520"/>
      <c r="AB9" s="520"/>
      <c r="AC9" s="520"/>
      <c r="AD9" s="47"/>
      <c r="AE9" s="47"/>
      <c r="AF9" s="47"/>
      <c r="AG9" s="47"/>
      <c r="AH9" s="47"/>
      <c r="AI9" s="47"/>
      <c r="AJ9" s="47"/>
      <c r="AK9" s="47"/>
    </row>
    <row r="10" spans="2:37" ht="15.75" customHeight="1" thickTop="1" thickBot="1">
      <c r="B10" s="520"/>
      <c r="C10" s="520"/>
      <c r="D10" s="520"/>
      <c r="E10" s="520"/>
      <c r="F10" s="520"/>
      <c r="G10" s="520"/>
      <c r="H10" s="520"/>
      <c r="I10" s="57"/>
      <c r="J10" s="57"/>
      <c r="M10" s="511"/>
      <c r="N10" s="511"/>
      <c r="O10" s="511"/>
      <c r="P10" s="63"/>
      <c r="S10" s="511"/>
      <c r="T10" s="511"/>
      <c r="U10" s="511"/>
      <c r="V10" s="60"/>
      <c r="Y10" s="47"/>
      <c r="Z10" s="520"/>
      <c r="AA10" s="520"/>
      <c r="AB10" s="520"/>
      <c r="AC10" s="520"/>
      <c r="AD10" s="47"/>
      <c r="AE10" s="47"/>
      <c r="AF10" s="47"/>
      <c r="AG10" s="47"/>
      <c r="AH10" s="47"/>
      <c r="AI10" s="47"/>
      <c r="AJ10" s="47"/>
      <c r="AK10" s="47"/>
    </row>
    <row r="11" spans="2:37" ht="15.75" customHeight="1" thickTop="1">
      <c r="B11" s="53"/>
      <c r="C11" s="54"/>
      <c r="D11" s="54"/>
      <c r="E11" s="56"/>
      <c r="F11" s="56"/>
      <c r="G11" s="56"/>
      <c r="H11" s="56"/>
      <c r="I11" s="57"/>
      <c r="J11" s="53"/>
      <c r="M11" s="63"/>
      <c r="N11" s="64"/>
      <c r="O11" s="64"/>
      <c r="P11" s="63"/>
      <c r="S11" s="60"/>
      <c r="T11" s="60"/>
      <c r="U11" s="60"/>
      <c r="V11" s="60"/>
      <c r="Y11" s="47"/>
      <c r="Z11" s="47"/>
      <c r="AA11" s="47"/>
      <c r="AB11" s="47"/>
      <c r="AC11" s="47"/>
      <c r="AD11" s="47"/>
      <c r="AK11" s="47"/>
    </row>
    <row r="12" spans="2:37" ht="15.75" customHeight="1" thickBot="1">
      <c r="B12" s="53"/>
      <c r="C12" s="54"/>
      <c r="D12" s="54"/>
      <c r="E12" s="56"/>
      <c r="F12" s="56"/>
      <c r="G12" s="56"/>
      <c r="H12" s="56"/>
      <c r="I12" s="57"/>
      <c r="J12" s="53"/>
      <c r="M12" s="63"/>
      <c r="N12" s="64"/>
      <c r="O12" s="64"/>
      <c r="P12" s="63"/>
      <c r="Q12" s="26"/>
      <c r="R12" s="26"/>
      <c r="S12" s="61"/>
      <c r="T12" s="60"/>
      <c r="U12" s="60"/>
      <c r="V12" s="60"/>
      <c r="Y12" s="47"/>
      <c r="Z12" s="518" t="s">
        <v>536</v>
      </c>
      <c r="AA12" s="518"/>
      <c r="AB12" s="518"/>
      <c r="AC12" s="47"/>
      <c r="AD12" s="47"/>
      <c r="AE12" s="47"/>
      <c r="AF12" s="47"/>
      <c r="AG12" s="47"/>
      <c r="AH12" s="47"/>
      <c r="AI12" s="47"/>
      <c r="AJ12" s="47"/>
      <c r="AK12" s="47"/>
    </row>
    <row r="13" spans="2:37" ht="15.75" thickBot="1">
      <c r="B13" s="53"/>
      <c r="C13" s="466" t="s">
        <v>364</v>
      </c>
      <c r="D13" s="466"/>
      <c r="E13" s="466"/>
      <c r="F13" s="466"/>
      <c r="G13" s="466"/>
      <c r="H13" s="466"/>
      <c r="I13" s="466"/>
      <c r="J13" s="53"/>
      <c r="M13" s="65"/>
      <c r="N13" s="468" t="s">
        <v>365</v>
      </c>
      <c r="O13" s="468"/>
      <c r="P13" s="63"/>
      <c r="Q13" s="23"/>
      <c r="R13" s="23"/>
      <c r="S13" s="61"/>
      <c r="T13" s="468" t="s">
        <v>280</v>
      </c>
      <c r="U13" s="468"/>
      <c r="V13" s="60"/>
      <c r="Y13" s="47"/>
      <c r="Z13" s="518"/>
      <c r="AA13" s="518"/>
      <c r="AB13" s="518"/>
      <c r="AC13" s="47"/>
      <c r="AD13" s="47"/>
      <c r="AE13" s="94"/>
      <c r="AF13" s="47"/>
      <c r="AG13" s="47"/>
      <c r="AH13" s="47"/>
      <c r="AI13" s="47"/>
      <c r="AJ13" s="47"/>
      <c r="AK13" s="47"/>
    </row>
    <row r="14" spans="2:37" ht="16.5" thickTop="1" thickBot="1">
      <c r="B14" s="53"/>
      <c r="C14" s="466"/>
      <c r="D14" s="466"/>
      <c r="E14" s="466"/>
      <c r="F14" s="466"/>
      <c r="G14" s="466"/>
      <c r="H14" s="466"/>
      <c r="I14" s="466"/>
      <c r="J14" s="53"/>
      <c r="K14" s="24" t="s">
        <v>275</v>
      </c>
      <c r="M14" s="65"/>
      <c r="N14" s="468"/>
      <c r="O14" s="468"/>
      <c r="P14" s="63"/>
      <c r="S14" s="60"/>
      <c r="T14" s="468"/>
      <c r="U14" s="468"/>
      <c r="V14" s="60"/>
      <c r="Y14" s="47"/>
      <c r="Z14" s="44"/>
      <c r="AA14" s="44"/>
      <c r="AB14" s="44"/>
      <c r="AC14" s="94"/>
      <c r="AD14" s="47"/>
      <c r="AE14" s="94"/>
      <c r="AF14" s="47"/>
      <c r="AG14" s="47"/>
      <c r="AH14" s="47"/>
      <c r="AI14" s="47"/>
      <c r="AJ14" s="47"/>
      <c r="AK14" s="47"/>
    </row>
    <row r="15" spans="2:37" ht="15.75" thickTop="1">
      <c r="B15" s="53"/>
      <c r="C15" s="54"/>
      <c r="D15" s="54"/>
      <c r="E15" s="54"/>
      <c r="F15" s="54"/>
      <c r="G15" s="54"/>
      <c r="H15" s="54"/>
      <c r="I15" s="54"/>
      <c r="J15" s="53"/>
      <c r="M15" s="63"/>
      <c r="N15" s="64"/>
      <c r="O15" s="64"/>
      <c r="P15" s="63"/>
      <c r="Q15" s="23"/>
      <c r="R15" s="23"/>
      <c r="S15" s="71"/>
      <c r="T15" s="60"/>
      <c r="U15" s="60"/>
      <c r="V15" s="60"/>
      <c r="Y15" s="47"/>
      <c r="Z15" s="457" t="s">
        <v>530</v>
      </c>
      <c r="AA15" s="457" t="s">
        <v>530</v>
      </c>
      <c r="AB15" s="457"/>
      <c r="AC15" s="94"/>
      <c r="AD15" s="47"/>
      <c r="AE15" s="94"/>
      <c r="AF15" s="47"/>
      <c r="AG15" s="47"/>
      <c r="AH15" s="47"/>
      <c r="AI15" s="47"/>
      <c r="AJ15" s="47"/>
      <c r="AK15" s="47"/>
    </row>
    <row r="16" spans="2:37">
      <c r="B16" s="53"/>
      <c r="C16" s="55" t="s">
        <v>0</v>
      </c>
      <c r="D16" s="55"/>
      <c r="E16" s="55" t="s">
        <v>59</v>
      </c>
      <c r="F16" s="55"/>
      <c r="G16" s="55" t="s">
        <v>60</v>
      </c>
      <c r="H16" s="55"/>
      <c r="I16" s="55" t="s">
        <v>61</v>
      </c>
      <c r="J16" s="53"/>
      <c r="M16" s="63"/>
      <c r="N16" s="69" t="s">
        <v>277</v>
      </c>
      <c r="O16" s="70" t="s">
        <v>182</v>
      </c>
      <c r="P16" s="63"/>
      <c r="Q16" s="23"/>
      <c r="R16" s="23"/>
      <c r="S16" s="71"/>
      <c r="T16" s="79" t="s">
        <v>206</v>
      </c>
      <c r="U16" s="79" t="s">
        <v>207</v>
      </c>
      <c r="V16" s="60"/>
      <c r="Y16" s="47"/>
      <c r="Z16" s="457" t="s">
        <v>531</v>
      </c>
      <c r="AA16" s="457" t="s">
        <v>532</v>
      </c>
      <c r="AB16" s="457"/>
      <c r="AC16" s="94"/>
      <c r="AD16" s="47"/>
      <c r="AE16" s="94"/>
      <c r="AF16" s="47"/>
      <c r="AG16" s="47"/>
      <c r="AH16" s="47"/>
      <c r="AI16" s="47"/>
      <c r="AJ16" s="47"/>
      <c r="AK16" s="47"/>
    </row>
    <row r="17" spans="2:37">
      <c r="B17" s="53"/>
      <c r="C17" s="54"/>
      <c r="D17" s="55"/>
      <c r="E17" s="54"/>
      <c r="F17" s="54"/>
      <c r="G17" s="54"/>
      <c r="H17" s="54"/>
      <c r="I17" s="54"/>
      <c r="J17" s="53"/>
      <c r="M17" s="63"/>
      <c r="N17" s="69"/>
      <c r="O17" s="70" t="s">
        <v>264</v>
      </c>
      <c r="P17" s="63"/>
      <c r="Q17" s="23"/>
      <c r="R17" s="23"/>
      <c r="S17" s="71"/>
      <c r="T17" s="61"/>
      <c r="U17" s="61"/>
      <c r="V17" s="60"/>
      <c r="Y17" s="47"/>
      <c r="Z17" s="457"/>
      <c r="AA17" s="457"/>
      <c r="AB17" s="457"/>
      <c r="AC17" s="94"/>
      <c r="AD17" s="47"/>
      <c r="AE17" s="94"/>
      <c r="AF17" s="47"/>
      <c r="AG17" s="47"/>
      <c r="AH17" s="47"/>
      <c r="AI17" s="47"/>
      <c r="AJ17" s="47"/>
      <c r="AK17" s="47"/>
    </row>
    <row r="18" spans="2:37">
      <c r="B18" s="53"/>
      <c r="C18" s="55">
        <v>1</v>
      </c>
      <c r="D18" s="55"/>
      <c r="E18" s="49">
        <v>22</v>
      </c>
      <c r="F18" s="55"/>
      <c r="G18" s="49">
        <v>0</v>
      </c>
      <c r="H18" s="55"/>
      <c r="I18" s="49">
        <v>22</v>
      </c>
      <c r="J18" s="53"/>
      <c r="M18" s="63"/>
      <c r="N18" s="68" t="s">
        <v>255</v>
      </c>
      <c r="O18" s="51">
        <v>0</v>
      </c>
      <c r="P18" s="63"/>
      <c r="Q18" s="36"/>
      <c r="R18" s="36"/>
      <c r="S18" s="71"/>
      <c r="T18" s="71" t="s">
        <v>208</v>
      </c>
      <c r="U18" s="51">
        <v>25</v>
      </c>
      <c r="V18" s="60"/>
      <c r="Y18" s="47"/>
      <c r="Z18" s="457">
        <v>2</v>
      </c>
      <c r="AA18" s="457">
        <v>14.65</v>
      </c>
      <c r="AB18" s="457"/>
      <c r="AC18" s="94"/>
      <c r="AD18" s="47"/>
      <c r="AE18" s="94"/>
      <c r="AF18" s="47"/>
      <c r="AG18" s="47"/>
      <c r="AH18" s="47"/>
      <c r="AI18" s="47"/>
      <c r="AJ18" s="47"/>
      <c r="AK18" s="47"/>
    </row>
    <row r="19" spans="2:37">
      <c r="B19" s="53"/>
      <c r="C19" s="55"/>
      <c r="D19" s="55"/>
      <c r="E19" s="55"/>
      <c r="F19" s="55"/>
      <c r="G19" s="55"/>
      <c r="H19" s="55"/>
      <c r="I19" s="55"/>
      <c r="J19" s="53"/>
      <c r="M19" s="63"/>
      <c r="N19" s="68"/>
      <c r="O19" s="68"/>
      <c r="P19" s="63"/>
      <c r="Q19" s="36"/>
      <c r="R19" s="36"/>
      <c r="S19" s="71"/>
      <c r="T19" s="71"/>
      <c r="U19" s="71"/>
      <c r="V19" s="60"/>
      <c r="Y19" s="47"/>
      <c r="Z19" s="457">
        <v>20</v>
      </c>
      <c r="AA19" s="457">
        <v>32.65</v>
      </c>
      <c r="AB19" s="457"/>
      <c r="AC19" s="94"/>
      <c r="AD19" s="47"/>
      <c r="AE19" s="94"/>
      <c r="AF19" s="47"/>
      <c r="AG19" s="47"/>
      <c r="AH19" s="47"/>
      <c r="AI19" s="47"/>
      <c r="AJ19" s="47"/>
      <c r="AK19" s="47"/>
    </row>
    <row r="20" spans="2:37">
      <c r="B20" s="53"/>
      <c r="C20" s="55">
        <v>2</v>
      </c>
      <c r="D20" s="55"/>
      <c r="E20" s="49">
        <v>22</v>
      </c>
      <c r="F20" s="55"/>
      <c r="G20" s="49">
        <v>0</v>
      </c>
      <c r="H20" s="55"/>
      <c r="I20" s="49">
        <v>22</v>
      </c>
      <c r="J20" s="53"/>
      <c r="M20" s="63"/>
      <c r="N20" s="68" t="s">
        <v>254</v>
      </c>
      <c r="O20" s="51">
        <v>0</v>
      </c>
      <c r="P20" s="63"/>
      <c r="Q20" s="36"/>
      <c r="R20" s="36"/>
      <c r="S20" s="71"/>
      <c r="T20" s="71" t="s">
        <v>209</v>
      </c>
      <c r="U20" s="51">
        <v>24</v>
      </c>
      <c r="V20" s="60"/>
      <c r="Y20" s="47"/>
      <c r="Z20" s="457">
        <v>30</v>
      </c>
      <c r="AA20" s="457">
        <v>42.65</v>
      </c>
      <c r="AB20" s="457"/>
      <c r="AC20" s="94"/>
      <c r="AD20" s="47"/>
      <c r="AE20" s="47"/>
      <c r="AF20" s="47"/>
      <c r="AG20" s="47"/>
      <c r="AH20" s="47"/>
      <c r="AI20" s="47"/>
      <c r="AJ20" s="47"/>
      <c r="AK20" s="47"/>
    </row>
    <row r="21" spans="2:37">
      <c r="B21" s="53"/>
      <c r="C21" s="55"/>
      <c r="D21" s="55"/>
      <c r="E21" s="55"/>
      <c r="F21" s="55"/>
      <c r="G21" s="55"/>
      <c r="H21" s="55"/>
      <c r="I21" s="55"/>
      <c r="J21" s="53"/>
      <c r="M21" s="63"/>
      <c r="N21" s="68"/>
      <c r="O21" s="68"/>
      <c r="P21" s="63"/>
      <c r="Q21" s="36"/>
      <c r="R21" s="36"/>
      <c r="S21" s="71"/>
      <c r="T21" s="71"/>
      <c r="U21" s="71"/>
      <c r="V21" s="60"/>
      <c r="Y21" s="47"/>
      <c r="Z21" s="457">
        <v>36</v>
      </c>
      <c r="AA21" s="457">
        <v>48.65</v>
      </c>
      <c r="AB21" s="457"/>
      <c r="AC21" s="47"/>
      <c r="AD21" s="47"/>
      <c r="AE21" s="47"/>
      <c r="AF21" s="47"/>
      <c r="AG21" s="47"/>
      <c r="AH21" s="47"/>
      <c r="AI21" s="47"/>
      <c r="AJ21" s="47"/>
      <c r="AK21" s="47"/>
    </row>
    <row r="22" spans="2:37">
      <c r="B22" s="53"/>
      <c r="C22" s="55">
        <v>3</v>
      </c>
      <c r="D22" s="55"/>
      <c r="E22" s="49">
        <v>19</v>
      </c>
      <c r="F22" s="55"/>
      <c r="G22" s="49">
        <v>0</v>
      </c>
      <c r="H22" s="55"/>
      <c r="I22" s="49">
        <v>22</v>
      </c>
      <c r="J22" s="53"/>
      <c r="M22" s="63"/>
      <c r="N22" s="68" t="s">
        <v>253</v>
      </c>
      <c r="O22" s="51">
        <v>5.5</v>
      </c>
      <c r="P22" s="63"/>
      <c r="Q22" s="36"/>
      <c r="R22" s="36"/>
      <c r="S22" s="71"/>
      <c r="T22" s="71" t="s">
        <v>210</v>
      </c>
      <c r="U22" s="51">
        <v>23</v>
      </c>
      <c r="V22" s="60"/>
      <c r="Y22" s="47"/>
      <c r="Z22" s="457"/>
      <c r="AA22" s="457"/>
      <c r="AB22" s="457"/>
      <c r="AC22" s="47"/>
      <c r="AD22" s="47"/>
      <c r="AE22" s="47"/>
      <c r="AF22" s="47"/>
      <c r="AG22" s="47"/>
      <c r="AH22" s="47"/>
      <c r="AI22" s="47"/>
      <c r="AJ22" s="47"/>
      <c r="AK22" s="47"/>
    </row>
    <row r="23" spans="2:37">
      <c r="B23" s="53"/>
      <c r="C23" s="55"/>
      <c r="D23" s="55"/>
      <c r="E23" s="55"/>
      <c r="F23" s="55"/>
      <c r="G23" s="55"/>
      <c r="H23" s="55"/>
      <c r="I23" s="55"/>
      <c r="J23" s="53"/>
      <c r="M23" s="63"/>
      <c r="N23" s="68"/>
      <c r="O23" s="68"/>
      <c r="P23" s="63"/>
      <c r="Q23" s="36"/>
      <c r="R23" s="36"/>
      <c r="S23" s="71"/>
      <c r="T23" s="71"/>
      <c r="U23" s="71"/>
      <c r="V23" s="60"/>
      <c r="Y23" s="47"/>
      <c r="Z23" s="519" t="s">
        <v>533</v>
      </c>
      <c r="AA23" s="519"/>
      <c r="AB23" s="465">
        <v>20</v>
      </c>
      <c r="AC23" s="47"/>
      <c r="AD23" s="47"/>
      <c r="AE23" s="47"/>
      <c r="AF23" s="47"/>
      <c r="AG23" s="47"/>
      <c r="AH23" s="47"/>
      <c r="AI23" s="47"/>
      <c r="AJ23" s="47"/>
      <c r="AK23" s="47"/>
    </row>
    <row r="24" spans="2:37">
      <c r="B24" s="53"/>
      <c r="C24" s="55">
        <v>4</v>
      </c>
      <c r="D24" s="55"/>
      <c r="E24" s="49">
        <v>18</v>
      </c>
      <c r="F24" s="55"/>
      <c r="G24" s="49">
        <v>0</v>
      </c>
      <c r="H24" s="55"/>
      <c r="I24" s="49">
        <v>23</v>
      </c>
      <c r="J24" s="53"/>
      <c r="M24" s="63"/>
      <c r="N24" s="68" t="s">
        <v>252</v>
      </c>
      <c r="O24" s="51">
        <v>1.5</v>
      </c>
      <c r="P24" s="63"/>
      <c r="Q24" s="36"/>
      <c r="R24" s="36"/>
      <c r="S24" s="71"/>
      <c r="T24" s="71" t="s">
        <v>211</v>
      </c>
      <c r="U24" s="51">
        <v>22</v>
      </c>
      <c r="V24" s="60"/>
      <c r="Y24" s="47"/>
      <c r="Z24" s="519" t="s">
        <v>534</v>
      </c>
      <c r="AA24" s="519"/>
      <c r="AB24" s="465">
        <v>32.65</v>
      </c>
      <c r="AC24" s="47"/>
      <c r="AD24" s="47"/>
      <c r="AE24" s="47"/>
      <c r="AF24" s="47"/>
      <c r="AG24" s="47"/>
      <c r="AH24" s="47"/>
      <c r="AI24" s="47"/>
      <c r="AJ24" s="47"/>
      <c r="AK24" s="47"/>
    </row>
    <row r="25" spans="2:37">
      <c r="B25" s="53"/>
      <c r="C25" s="55"/>
      <c r="D25" s="55"/>
      <c r="E25" s="55"/>
      <c r="F25" s="55"/>
      <c r="G25" s="55"/>
      <c r="H25" s="55"/>
      <c r="I25" s="55"/>
      <c r="J25" s="53"/>
      <c r="M25" s="63"/>
      <c r="N25" s="68"/>
      <c r="O25" s="68"/>
      <c r="P25" s="63"/>
      <c r="Q25" s="36"/>
      <c r="R25" s="36"/>
      <c r="S25" s="71"/>
      <c r="T25" s="71"/>
      <c r="U25" s="71"/>
      <c r="V25" s="75"/>
      <c r="Y25" s="47"/>
      <c r="Z25" s="47"/>
      <c r="AA25" s="47"/>
      <c r="AB25" s="47"/>
      <c r="AC25" s="47"/>
      <c r="AD25" s="47"/>
      <c r="AE25" s="47"/>
      <c r="AF25" s="47"/>
      <c r="AG25" s="47"/>
      <c r="AH25" s="47"/>
      <c r="AI25" s="47"/>
      <c r="AJ25" s="47"/>
      <c r="AK25" s="47"/>
    </row>
    <row r="26" spans="2:37">
      <c r="B26" s="53"/>
      <c r="C26" s="55">
        <v>5</v>
      </c>
      <c r="D26" s="55"/>
      <c r="E26" s="49">
        <v>20</v>
      </c>
      <c r="F26" s="55"/>
      <c r="G26" s="49">
        <v>0</v>
      </c>
      <c r="H26" s="55"/>
      <c r="I26" s="49">
        <v>25</v>
      </c>
      <c r="J26" s="53"/>
      <c r="M26" s="63"/>
      <c r="N26" s="68" t="s">
        <v>251</v>
      </c>
      <c r="O26" s="51">
        <v>0.7</v>
      </c>
      <c r="P26" s="63"/>
      <c r="Q26" s="36"/>
      <c r="R26" s="36"/>
      <c r="S26" s="71"/>
      <c r="T26" s="71" t="s">
        <v>212</v>
      </c>
      <c r="U26" s="51">
        <v>23</v>
      </c>
      <c r="V26" s="75"/>
      <c r="Y26" s="47"/>
      <c r="Z26" s="47"/>
      <c r="AA26" s="47"/>
      <c r="AB26" s="464"/>
      <c r="AC26" s="47"/>
      <c r="AD26" s="47"/>
      <c r="AE26" s="47"/>
      <c r="AF26" s="47"/>
      <c r="AG26" s="47"/>
      <c r="AH26" s="47"/>
      <c r="AI26" s="47"/>
      <c r="AJ26" s="47"/>
      <c r="AK26" s="47"/>
    </row>
    <row r="27" spans="2:37">
      <c r="B27" s="53"/>
      <c r="C27" s="55"/>
      <c r="D27" s="55"/>
      <c r="E27" s="55"/>
      <c r="F27" s="55"/>
      <c r="G27" s="55"/>
      <c r="H27" s="55"/>
      <c r="I27" s="55"/>
      <c r="J27" s="53"/>
      <c r="M27" s="63"/>
      <c r="N27" s="68"/>
      <c r="O27" s="68"/>
      <c r="P27" s="63"/>
      <c r="Q27" s="36"/>
      <c r="R27" s="36"/>
      <c r="S27" s="71"/>
      <c r="T27" s="71"/>
      <c r="U27" s="71"/>
      <c r="V27" s="61"/>
      <c r="Y27" s="47"/>
      <c r="Z27" s="44"/>
      <c r="AA27" s="44"/>
      <c r="AB27" s="44"/>
      <c r="AC27" s="47"/>
      <c r="AD27" s="47"/>
      <c r="AE27" s="47"/>
      <c r="AF27" s="47"/>
      <c r="AG27" s="47"/>
      <c r="AH27" s="47"/>
      <c r="AI27" s="47"/>
      <c r="AJ27" s="47"/>
      <c r="AK27" s="47"/>
    </row>
    <row r="28" spans="2:37">
      <c r="B28" s="53"/>
      <c r="C28" s="55">
        <v>6</v>
      </c>
      <c r="D28" s="55"/>
      <c r="E28" s="49">
        <v>21.9</v>
      </c>
      <c r="F28" s="55"/>
      <c r="G28" s="49">
        <v>0</v>
      </c>
      <c r="H28" s="55"/>
      <c r="I28" s="49">
        <v>24</v>
      </c>
      <c r="J28" s="53"/>
      <c r="M28" s="63"/>
      <c r="N28" s="68" t="s">
        <v>250</v>
      </c>
      <c r="O28" s="51">
        <v>0.7</v>
      </c>
      <c r="P28" s="63"/>
      <c r="S28" s="60"/>
      <c r="T28" s="71" t="s">
        <v>213</v>
      </c>
      <c r="U28" s="51">
        <v>24</v>
      </c>
      <c r="V28" s="61"/>
      <c r="Y28" s="47"/>
      <c r="Z28" s="44"/>
      <c r="AA28" s="44"/>
      <c r="AB28" s="44"/>
      <c r="AC28" s="47"/>
      <c r="AD28" s="47"/>
      <c r="AE28" s="47"/>
      <c r="AF28" s="47"/>
      <c r="AG28" s="47"/>
      <c r="AH28" s="47"/>
      <c r="AI28" s="47"/>
      <c r="AJ28" s="47"/>
      <c r="AK28" s="47"/>
    </row>
    <row r="29" spans="2:37" ht="15.75" thickBot="1">
      <c r="B29" s="53"/>
      <c r="C29" s="55"/>
      <c r="D29" s="55"/>
      <c r="E29" s="55"/>
      <c r="F29" s="55"/>
      <c r="G29" s="55"/>
      <c r="H29" s="55"/>
      <c r="I29" s="55"/>
      <c r="J29" s="53"/>
      <c r="M29" s="63"/>
      <c r="N29" s="68"/>
      <c r="O29" s="68"/>
      <c r="P29" s="63"/>
      <c r="S29" s="60"/>
      <c r="T29" s="71"/>
      <c r="U29" s="71"/>
      <c r="V29" s="78"/>
      <c r="Y29" s="47"/>
      <c r="Z29" s="518" t="s">
        <v>537</v>
      </c>
      <c r="AA29" s="518"/>
      <c r="AB29" s="518"/>
      <c r="AC29" s="47"/>
      <c r="AD29" s="47"/>
      <c r="AE29" s="47"/>
      <c r="AF29" s="47"/>
      <c r="AG29" s="47"/>
      <c r="AH29" s="47"/>
      <c r="AI29" s="47"/>
      <c r="AJ29" s="47"/>
      <c r="AK29" s="47"/>
    </row>
    <row r="30" spans="2:37" ht="15.75" thickBot="1">
      <c r="B30" s="53"/>
      <c r="C30" s="55">
        <v>7</v>
      </c>
      <c r="D30" s="55"/>
      <c r="E30" s="49">
        <v>22</v>
      </c>
      <c r="F30" s="55"/>
      <c r="G30" s="49">
        <v>0</v>
      </c>
      <c r="H30" s="55"/>
      <c r="I30" s="49">
        <v>23</v>
      </c>
      <c r="J30" s="53"/>
      <c r="M30" s="63"/>
      <c r="N30" s="68" t="s">
        <v>249</v>
      </c>
      <c r="O30" s="51">
        <v>0.7</v>
      </c>
      <c r="P30" s="63"/>
      <c r="S30" s="60"/>
      <c r="T30" s="71" t="s">
        <v>214</v>
      </c>
      <c r="U30" s="51">
        <v>26</v>
      </c>
      <c r="V30" s="62"/>
      <c r="W30" s="20"/>
      <c r="Y30" s="47"/>
      <c r="Z30" s="518"/>
      <c r="AA30" s="518"/>
      <c r="AB30" s="518"/>
      <c r="AC30" s="47"/>
      <c r="AD30" s="47"/>
      <c r="AE30" s="47"/>
      <c r="AF30" s="47"/>
      <c r="AG30" s="47"/>
      <c r="AH30" s="47"/>
      <c r="AI30" s="47"/>
      <c r="AJ30" s="47"/>
      <c r="AK30" s="47"/>
    </row>
    <row r="31" spans="2:37">
      <c r="B31" s="53"/>
      <c r="C31" s="55"/>
      <c r="D31" s="55"/>
      <c r="E31" s="55"/>
      <c r="F31" s="55"/>
      <c r="G31" s="55"/>
      <c r="H31" s="55"/>
      <c r="I31" s="55"/>
      <c r="J31" s="53"/>
      <c r="M31" s="63"/>
      <c r="N31" s="68"/>
      <c r="O31" s="68"/>
      <c r="P31" s="63"/>
      <c r="Q31" s="20"/>
      <c r="R31" s="20"/>
      <c r="S31" s="62"/>
      <c r="T31" s="60"/>
      <c r="U31" s="60"/>
      <c r="V31" s="61"/>
      <c r="W31" s="35"/>
      <c r="Y31" s="47"/>
      <c r="Z31" s="44"/>
      <c r="AA31" s="44"/>
      <c r="AB31" s="44"/>
      <c r="AC31" s="47"/>
      <c r="AD31" s="47"/>
      <c r="AE31" s="47"/>
      <c r="AF31" s="47"/>
      <c r="AG31" s="47"/>
      <c r="AH31" s="47"/>
      <c r="AI31" s="47"/>
      <c r="AJ31" s="47"/>
      <c r="AK31" s="47"/>
    </row>
    <row r="32" spans="2:37">
      <c r="B32" s="53"/>
      <c r="C32" s="55">
        <v>8</v>
      </c>
      <c r="D32" s="55"/>
      <c r="E32" s="49">
        <v>19.5</v>
      </c>
      <c r="F32" s="55"/>
      <c r="G32" s="49">
        <v>0</v>
      </c>
      <c r="H32" s="55"/>
      <c r="I32" s="49">
        <v>21</v>
      </c>
      <c r="J32" s="53"/>
      <c r="M32" s="63"/>
      <c r="N32" s="68" t="s">
        <v>248</v>
      </c>
      <c r="O32" s="51">
        <v>0.7</v>
      </c>
      <c r="P32" s="63"/>
      <c r="Q32" s="20"/>
      <c r="R32" s="20"/>
      <c r="S32" s="62"/>
      <c r="T32" s="60"/>
      <c r="U32" s="60"/>
      <c r="V32" s="61"/>
      <c r="W32" s="35"/>
      <c r="Y32" s="47"/>
      <c r="Z32" s="457" t="s">
        <v>530</v>
      </c>
      <c r="AA32" s="457" t="s">
        <v>530</v>
      </c>
      <c r="AB32" s="44"/>
      <c r="AC32" s="47"/>
      <c r="AD32" s="47"/>
      <c r="AE32" s="47"/>
      <c r="AF32" s="47"/>
      <c r="AG32" s="47"/>
      <c r="AH32" s="47"/>
      <c r="AI32" s="47"/>
      <c r="AJ32" s="47"/>
      <c r="AK32" s="47"/>
    </row>
    <row r="33" spans="2:37">
      <c r="B33" s="53"/>
      <c r="C33" s="55"/>
      <c r="D33" s="55"/>
      <c r="E33" s="55"/>
      <c r="F33" s="55"/>
      <c r="G33" s="55"/>
      <c r="H33" s="55"/>
      <c r="I33" s="55"/>
      <c r="J33" s="53"/>
      <c r="M33" s="64"/>
      <c r="N33" s="68"/>
      <c r="O33" s="68"/>
      <c r="P33" s="63"/>
      <c r="Q33" s="23"/>
      <c r="R33" s="23"/>
      <c r="S33" s="23"/>
      <c r="T33" s="58"/>
      <c r="U33" s="58"/>
      <c r="V33" s="35"/>
      <c r="W33" s="23"/>
      <c r="Y33" s="47"/>
      <c r="Z33" s="457" t="s">
        <v>531</v>
      </c>
      <c r="AA33" s="457" t="s">
        <v>532</v>
      </c>
      <c r="AB33" s="44"/>
      <c r="AC33" s="47"/>
      <c r="AD33" s="47"/>
      <c r="AE33" s="47"/>
      <c r="AF33" s="47"/>
      <c r="AG33" s="47"/>
      <c r="AH33" s="47"/>
      <c r="AI33" s="47"/>
      <c r="AJ33" s="47"/>
      <c r="AK33" s="47"/>
    </row>
    <row r="34" spans="2:37">
      <c r="B34" s="53"/>
      <c r="C34" s="55">
        <v>9</v>
      </c>
      <c r="D34" s="55"/>
      <c r="E34" s="49">
        <v>21</v>
      </c>
      <c r="F34" s="55"/>
      <c r="G34" s="49">
        <v>0</v>
      </c>
      <c r="H34" s="55"/>
      <c r="I34" s="49">
        <v>25</v>
      </c>
      <c r="J34" s="53"/>
      <c r="M34" s="64"/>
      <c r="N34" s="68" t="s">
        <v>256</v>
      </c>
      <c r="O34" s="51">
        <v>0.2</v>
      </c>
      <c r="P34" s="63"/>
      <c r="T34" s="58"/>
      <c r="U34" s="58"/>
      <c r="V34" s="20"/>
      <c r="W34" s="36"/>
      <c r="Y34" s="47"/>
      <c r="Z34" s="457"/>
      <c r="AA34" s="457"/>
      <c r="AB34" s="44"/>
      <c r="AC34" s="47"/>
      <c r="AD34" s="47"/>
      <c r="AE34" s="47"/>
      <c r="AF34" s="47"/>
      <c r="AG34" s="47"/>
      <c r="AH34" s="47"/>
      <c r="AI34" s="47"/>
      <c r="AJ34" s="47"/>
      <c r="AK34" s="47"/>
    </row>
    <row r="35" spans="2:37">
      <c r="B35" s="53"/>
      <c r="C35" s="55"/>
      <c r="D35" s="55"/>
      <c r="E35" s="55"/>
      <c r="F35" s="55"/>
      <c r="G35" s="55"/>
      <c r="H35" s="55"/>
      <c r="I35" s="55"/>
      <c r="J35" s="53"/>
      <c r="M35" s="63"/>
      <c r="N35" s="68"/>
      <c r="O35" s="68"/>
      <c r="P35" s="63"/>
      <c r="T35" s="23"/>
      <c r="U35" s="23"/>
      <c r="V35" s="20"/>
      <c r="W35" s="36"/>
      <c r="Y35" s="47"/>
      <c r="Z35" s="457">
        <v>2</v>
      </c>
      <c r="AA35" s="457">
        <v>11.37</v>
      </c>
      <c r="AB35" s="44"/>
      <c r="AC35" s="47"/>
      <c r="AD35" s="47"/>
      <c r="AE35" s="47"/>
      <c r="AF35" s="47"/>
      <c r="AG35" s="47"/>
      <c r="AH35" s="47"/>
      <c r="AI35" s="47"/>
      <c r="AJ35" s="47"/>
      <c r="AK35" s="47"/>
    </row>
    <row r="36" spans="2:37">
      <c r="B36" s="53"/>
      <c r="C36" s="55">
        <v>10</v>
      </c>
      <c r="D36" s="55"/>
      <c r="E36" s="49">
        <v>22</v>
      </c>
      <c r="F36" s="55"/>
      <c r="G36" s="49">
        <v>22</v>
      </c>
      <c r="H36" s="55"/>
      <c r="I36" s="49">
        <v>22</v>
      </c>
      <c r="J36" s="53"/>
      <c r="M36" s="63"/>
      <c r="N36" s="68" t="s">
        <v>257</v>
      </c>
      <c r="O36" s="51">
        <v>0</v>
      </c>
      <c r="P36" s="63"/>
      <c r="T36" s="20"/>
      <c r="U36" s="23"/>
      <c r="V36" s="36"/>
      <c r="W36" s="36"/>
      <c r="Y36" s="47"/>
      <c r="Z36" s="457">
        <v>20</v>
      </c>
      <c r="AA36" s="457">
        <v>40.89</v>
      </c>
      <c r="AB36" s="44"/>
      <c r="AC36" s="47"/>
      <c r="AD36" s="47"/>
      <c r="AE36" s="47"/>
      <c r="AF36" s="47"/>
      <c r="AG36" s="47"/>
      <c r="AH36" s="47"/>
      <c r="AI36" s="47"/>
      <c r="AJ36" s="47"/>
      <c r="AK36" s="47"/>
    </row>
    <row r="37" spans="2:37">
      <c r="B37" s="53"/>
      <c r="C37" s="55"/>
      <c r="D37" s="55"/>
      <c r="E37" s="55"/>
      <c r="F37" s="55"/>
      <c r="G37" s="55"/>
      <c r="H37" s="55"/>
      <c r="I37" s="55"/>
      <c r="J37" s="53"/>
      <c r="M37" s="63"/>
      <c r="N37" s="70"/>
      <c r="O37" s="70"/>
      <c r="P37" s="63"/>
      <c r="T37" s="20"/>
      <c r="U37" s="36"/>
      <c r="V37" s="20"/>
      <c r="W37" s="36"/>
      <c r="Y37" s="47"/>
      <c r="Z37" s="457">
        <v>30</v>
      </c>
      <c r="AA37" s="457">
        <v>57.289999999999992</v>
      </c>
      <c r="AB37" s="44"/>
      <c r="AC37" s="47"/>
      <c r="AD37" s="47"/>
      <c r="AE37" s="47"/>
      <c r="AF37" s="47"/>
      <c r="AG37" s="47"/>
      <c r="AH37" s="47"/>
      <c r="AI37" s="47"/>
      <c r="AJ37" s="47"/>
      <c r="AK37" s="47"/>
    </row>
    <row r="38" spans="2:37" ht="15.75" thickBot="1">
      <c r="B38" s="53"/>
      <c r="C38" s="55">
        <v>11</v>
      </c>
      <c r="D38" s="55"/>
      <c r="E38" s="49">
        <v>25</v>
      </c>
      <c r="F38" s="55"/>
      <c r="G38" s="49">
        <v>22</v>
      </c>
      <c r="H38" s="55"/>
      <c r="I38" s="49">
        <v>22</v>
      </c>
      <c r="J38" s="53"/>
      <c r="M38" s="63"/>
      <c r="N38" s="70" t="s">
        <v>203</v>
      </c>
      <c r="O38" s="73">
        <f>SUM(O18:O36)</f>
        <v>9.9999999999999982</v>
      </c>
      <c r="P38" s="63"/>
      <c r="T38" s="23"/>
      <c r="U38" s="23"/>
      <c r="V38" s="20"/>
      <c r="W38" s="36"/>
      <c r="Y38" s="47"/>
      <c r="Z38" s="457">
        <v>35</v>
      </c>
      <c r="AA38" s="457">
        <v>65.489999999999995</v>
      </c>
      <c r="AB38" s="44"/>
      <c r="AC38" s="47"/>
      <c r="AD38" s="47"/>
      <c r="AE38" s="47"/>
      <c r="AF38" s="47"/>
      <c r="AG38" s="47"/>
      <c r="AH38" s="47"/>
      <c r="AI38" s="47"/>
      <c r="AJ38" s="47"/>
      <c r="AK38" s="47"/>
    </row>
    <row r="39" spans="2:37" ht="15.75" thickTop="1">
      <c r="B39" s="53"/>
      <c r="C39" s="55"/>
      <c r="D39" s="55"/>
      <c r="E39" s="55"/>
      <c r="F39" s="55"/>
      <c r="G39" s="55"/>
      <c r="H39" s="55"/>
      <c r="I39" s="55"/>
      <c r="J39" s="53"/>
      <c r="M39" s="63"/>
      <c r="N39" s="64"/>
      <c r="O39" s="64"/>
      <c r="P39" s="63"/>
      <c r="T39" s="20"/>
      <c r="U39" s="23"/>
      <c r="V39" s="36"/>
      <c r="W39" s="36"/>
      <c r="Y39" s="47"/>
      <c r="Z39" s="44"/>
      <c r="AA39" s="44"/>
      <c r="AB39" s="44"/>
      <c r="AC39" s="47"/>
      <c r="AD39" s="47"/>
      <c r="AE39" s="47"/>
      <c r="AF39" s="47"/>
      <c r="AG39" s="47"/>
      <c r="AH39" s="47"/>
      <c r="AI39" s="47"/>
      <c r="AJ39" s="47"/>
      <c r="AK39" s="47"/>
    </row>
    <row r="40" spans="2:37">
      <c r="B40" s="53"/>
      <c r="C40" s="55">
        <v>12</v>
      </c>
      <c r="D40" s="55"/>
      <c r="E40" s="49">
        <v>21</v>
      </c>
      <c r="F40" s="55"/>
      <c r="G40" s="49">
        <v>20</v>
      </c>
      <c r="H40" s="55"/>
      <c r="I40" s="49">
        <v>22</v>
      </c>
      <c r="J40" s="53"/>
      <c r="M40" s="63"/>
      <c r="N40" s="64"/>
      <c r="O40" s="64"/>
      <c r="P40" s="63"/>
      <c r="T40" s="20"/>
      <c r="U40" s="23"/>
      <c r="V40" s="36"/>
      <c r="W40" s="36"/>
      <c r="Y40" s="47"/>
      <c r="Z40" s="519" t="s">
        <v>533</v>
      </c>
      <c r="AA40" s="519"/>
      <c r="AB40" s="455">
        <v>20</v>
      </c>
      <c r="AC40" s="47"/>
      <c r="AD40" s="47"/>
      <c r="AE40" s="47"/>
      <c r="AF40" s="47"/>
      <c r="AG40" s="47"/>
      <c r="AH40" s="47"/>
      <c r="AI40" s="47"/>
      <c r="AJ40" s="47"/>
      <c r="AK40" s="47"/>
    </row>
    <row r="41" spans="2:37" ht="15.75" thickBot="1">
      <c r="B41" s="53"/>
      <c r="C41" s="55"/>
      <c r="D41" s="55"/>
      <c r="E41" s="55"/>
      <c r="F41" s="55"/>
      <c r="G41" s="55"/>
      <c r="H41" s="55"/>
      <c r="I41" s="55"/>
      <c r="J41" s="53"/>
      <c r="M41" s="63"/>
      <c r="N41" s="468" t="s">
        <v>366</v>
      </c>
      <c r="O41" s="468"/>
      <c r="P41" s="63"/>
      <c r="T41" s="23"/>
      <c r="U41" s="23"/>
      <c r="V41" s="36"/>
      <c r="W41" s="36"/>
      <c r="Y41" s="47"/>
      <c r="Z41" s="519" t="s">
        <v>534</v>
      </c>
      <c r="AA41" s="519"/>
      <c r="AB41" s="455">
        <v>40.89</v>
      </c>
      <c r="AC41" s="47"/>
      <c r="AD41" s="47"/>
      <c r="AE41" s="47"/>
      <c r="AF41" s="47"/>
      <c r="AG41" s="47"/>
      <c r="AH41" s="47"/>
      <c r="AI41" s="47"/>
      <c r="AJ41" s="47"/>
      <c r="AK41" s="47"/>
    </row>
    <row r="42" spans="2:37" ht="16.5" thickTop="1" thickBot="1">
      <c r="B42" s="53"/>
      <c r="C42" s="55">
        <v>13</v>
      </c>
      <c r="D42" s="55"/>
      <c r="E42" s="49">
        <v>23</v>
      </c>
      <c r="F42" s="55"/>
      <c r="G42" s="49">
        <v>20</v>
      </c>
      <c r="H42" s="55"/>
      <c r="I42" s="49">
        <v>22</v>
      </c>
      <c r="J42" s="53"/>
      <c r="M42" s="63"/>
      <c r="N42" s="468"/>
      <c r="O42" s="468"/>
      <c r="P42" s="63"/>
      <c r="T42" s="20"/>
      <c r="U42" s="23"/>
      <c r="V42" s="23"/>
      <c r="W42" s="23"/>
      <c r="Y42" s="47"/>
      <c r="Z42" s="47"/>
      <c r="AA42" s="47"/>
      <c r="AB42" s="47"/>
      <c r="AC42" s="47"/>
      <c r="AD42" s="47"/>
      <c r="AE42" s="47"/>
      <c r="AF42" s="47"/>
      <c r="AG42" s="47"/>
      <c r="AH42" s="47"/>
      <c r="AI42" s="47"/>
      <c r="AJ42" s="47"/>
      <c r="AK42" s="47"/>
    </row>
    <row r="43" spans="2:37" ht="15.75" thickTop="1">
      <c r="B43" s="53"/>
      <c r="C43" s="55"/>
      <c r="D43" s="55"/>
      <c r="E43" s="55"/>
      <c r="F43" s="55"/>
      <c r="G43" s="55"/>
      <c r="H43" s="55"/>
      <c r="I43" s="55"/>
      <c r="J43" s="53"/>
      <c r="M43" s="63"/>
      <c r="N43" s="64"/>
      <c r="O43" s="64"/>
      <c r="P43" s="63"/>
      <c r="T43" s="20"/>
      <c r="U43" s="23"/>
      <c r="V43" s="23"/>
      <c r="W43" s="23"/>
      <c r="Y43" s="47"/>
      <c r="Z43" s="66"/>
      <c r="AA43" s="66"/>
      <c r="AB43" s="66"/>
      <c r="AC43" s="47"/>
      <c r="AD43" s="47"/>
      <c r="AE43" s="47"/>
      <c r="AF43" s="47"/>
      <c r="AG43" s="47"/>
      <c r="AH43" s="47"/>
      <c r="AI43" s="47"/>
      <c r="AJ43" s="47"/>
      <c r="AK43" s="47"/>
    </row>
    <row r="44" spans="2:37">
      <c r="B44" s="53"/>
      <c r="C44" s="55">
        <v>14</v>
      </c>
      <c r="D44" s="55"/>
      <c r="E44" s="49">
        <v>20</v>
      </c>
      <c r="F44" s="55"/>
      <c r="G44" s="49">
        <v>20</v>
      </c>
      <c r="H44" s="55"/>
      <c r="I44" s="49">
        <v>23</v>
      </c>
      <c r="J44" s="53"/>
      <c r="M44" s="63"/>
      <c r="N44" s="69" t="s">
        <v>277</v>
      </c>
      <c r="O44" s="69" t="s">
        <v>182</v>
      </c>
      <c r="P44" s="63"/>
      <c r="T44" s="23"/>
      <c r="U44" s="23"/>
      <c r="V44" s="20"/>
      <c r="W44" s="20"/>
      <c r="Y44" s="47"/>
      <c r="Z44" s="44"/>
      <c r="AA44" s="44"/>
      <c r="AB44" s="44"/>
      <c r="AC44" s="47"/>
      <c r="AD44" s="47"/>
      <c r="AE44" s="47"/>
      <c r="AF44" s="47"/>
      <c r="AG44" s="47"/>
      <c r="AH44" s="47"/>
      <c r="AI44" s="47"/>
      <c r="AJ44" s="47"/>
      <c r="AK44" s="47"/>
    </row>
    <row r="45" spans="2:37">
      <c r="B45" s="53"/>
      <c r="C45" s="55"/>
      <c r="D45" s="55"/>
      <c r="E45" s="55"/>
      <c r="F45" s="55"/>
      <c r="G45" s="55"/>
      <c r="H45" s="55"/>
      <c r="I45" s="55"/>
      <c r="J45" s="53"/>
      <c r="M45" s="63"/>
      <c r="N45" s="69"/>
      <c r="O45" s="69" t="s">
        <v>243</v>
      </c>
      <c r="P45" s="63"/>
      <c r="Q45" s="20"/>
      <c r="R45" s="20"/>
      <c r="S45" s="20"/>
      <c r="T45" s="20"/>
      <c r="U45" s="23"/>
      <c r="V45" s="35"/>
      <c r="W45" s="35"/>
    </row>
    <row r="46" spans="2:37">
      <c r="B46" s="53"/>
      <c r="C46" s="55">
        <v>15</v>
      </c>
      <c r="D46" s="55"/>
      <c r="E46" s="49">
        <v>20</v>
      </c>
      <c r="F46" s="55"/>
      <c r="G46" s="49">
        <v>20</v>
      </c>
      <c r="H46" s="55"/>
      <c r="I46" s="49">
        <v>21</v>
      </c>
      <c r="J46" s="53"/>
      <c r="M46" s="63"/>
      <c r="N46" s="68" t="s">
        <v>297</v>
      </c>
      <c r="O46" s="9">
        <v>0</v>
      </c>
      <c r="P46" s="63"/>
      <c r="Q46" s="20"/>
      <c r="R46" s="20"/>
      <c r="S46" s="20"/>
      <c r="T46" s="20"/>
      <c r="U46" s="23"/>
      <c r="V46" s="35"/>
      <c r="W46" s="35"/>
    </row>
    <row r="47" spans="2:37">
      <c r="B47" s="53"/>
      <c r="C47" s="55"/>
      <c r="D47" s="55"/>
      <c r="E47" s="55"/>
      <c r="F47" s="55"/>
      <c r="G47" s="55"/>
      <c r="H47" s="55"/>
      <c r="I47" s="55"/>
      <c r="J47" s="53"/>
      <c r="M47" s="64"/>
      <c r="N47" s="68"/>
      <c r="O47" s="68"/>
      <c r="P47" s="63"/>
      <c r="Q47" s="23"/>
      <c r="R47" s="23"/>
      <c r="S47" s="23"/>
      <c r="V47" s="23"/>
      <c r="W47" s="23"/>
    </row>
    <row r="48" spans="2:37">
      <c r="B48" s="53"/>
      <c r="C48" s="55">
        <v>16</v>
      </c>
      <c r="D48" s="55"/>
      <c r="E48" s="49">
        <v>19</v>
      </c>
      <c r="F48" s="55"/>
      <c r="G48" s="49">
        <v>20</v>
      </c>
      <c r="H48" s="55"/>
      <c r="I48" s="49">
        <v>23</v>
      </c>
      <c r="J48" s="53"/>
      <c r="M48" s="64"/>
      <c r="N48" s="68" t="s">
        <v>184</v>
      </c>
      <c r="O48" s="51">
        <v>0</v>
      </c>
      <c r="P48" s="63"/>
      <c r="Q48" s="23"/>
      <c r="R48" s="23"/>
      <c r="S48" s="23"/>
      <c r="V48" s="36"/>
      <c r="W48" s="36"/>
    </row>
    <row r="49" spans="2:23">
      <c r="B49" s="53"/>
      <c r="C49" s="55"/>
      <c r="D49" s="55"/>
      <c r="E49" s="55"/>
      <c r="F49" s="55"/>
      <c r="G49" s="55"/>
      <c r="H49" s="55"/>
      <c r="I49" s="55"/>
      <c r="J49" s="53"/>
      <c r="M49" s="64"/>
      <c r="N49" s="68"/>
      <c r="O49" s="68"/>
      <c r="P49" s="63"/>
      <c r="Q49" s="23"/>
      <c r="R49" s="23"/>
      <c r="S49" s="36"/>
      <c r="V49" s="36"/>
      <c r="W49" s="36"/>
    </row>
    <row r="50" spans="2:23">
      <c r="B50" s="53"/>
      <c r="C50" s="55">
        <v>17</v>
      </c>
      <c r="D50" s="55"/>
      <c r="E50" s="49">
        <v>21</v>
      </c>
      <c r="F50" s="55"/>
      <c r="G50" s="49">
        <v>20</v>
      </c>
      <c r="H50" s="55"/>
      <c r="I50" s="49">
        <v>21</v>
      </c>
      <c r="J50" s="53"/>
      <c r="M50" s="63"/>
      <c r="N50" s="68" t="s">
        <v>185</v>
      </c>
      <c r="O50" s="51">
        <v>0</v>
      </c>
      <c r="P50" s="63"/>
      <c r="Q50" s="23"/>
      <c r="R50" s="23"/>
      <c r="S50" s="36"/>
      <c r="V50" s="36"/>
      <c r="W50" s="36"/>
    </row>
    <row r="51" spans="2:23">
      <c r="B51" s="53"/>
      <c r="C51" s="55"/>
      <c r="D51" s="55"/>
      <c r="E51" s="55"/>
      <c r="F51" s="55"/>
      <c r="G51" s="55"/>
      <c r="H51" s="55"/>
      <c r="I51" s="55"/>
      <c r="J51" s="53"/>
      <c r="M51" s="63"/>
      <c r="N51" s="68"/>
      <c r="O51" s="68"/>
      <c r="P51" s="63"/>
      <c r="Q51" s="23"/>
      <c r="R51" s="23"/>
      <c r="S51" s="36"/>
      <c r="V51" s="36"/>
      <c r="W51" s="36"/>
    </row>
    <row r="52" spans="2:23">
      <c r="B52" s="53"/>
      <c r="C52" s="55">
        <v>18</v>
      </c>
      <c r="D52" s="55"/>
      <c r="E52" s="49">
        <v>22</v>
      </c>
      <c r="F52" s="55"/>
      <c r="G52" s="49">
        <v>20</v>
      </c>
      <c r="H52" s="55"/>
      <c r="I52" s="49">
        <v>23</v>
      </c>
      <c r="J52" s="53"/>
      <c r="M52" s="63"/>
      <c r="N52" s="68" t="s">
        <v>186</v>
      </c>
      <c r="O52" s="51">
        <v>5.5</v>
      </c>
      <c r="P52" s="63"/>
      <c r="Q52" s="36"/>
      <c r="R52" s="36"/>
      <c r="S52" s="36"/>
      <c r="V52" s="36"/>
      <c r="W52" s="36"/>
    </row>
    <row r="53" spans="2:23">
      <c r="B53" s="53"/>
      <c r="C53" s="55"/>
      <c r="D53" s="55"/>
      <c r="E53" s="55"/>
      <c r="F53" s="55"/>
      <c r="G53" s="55"/>
      <c r="H53" s="55"/>
      <c r="I53" s="55"/>
      <c r="J53" s="53"/>
      <c r="M53" s="63"/>
      <c r="N53" s="68"/>
      <c r="O53" s="68"/>
      <c r="P53" s="63"/>
      <c r="Q53" s="36"/>
      <c r="R53" s="36"/>
      <c r="S53" s="36"/>
      <c r="V53" s="36"/>
      <c r="W53" s="36"/>
    </row>
    <row r="54" spans="2:23">
      <c r="B54" s="53"/>
      <c r="C54" s="55">
        <v>19</v>
      </c>
      <c r="D54" s="55"/>
      <c r="E54" s="49">
        <v>20</v>
      </c>
      <c r="F54" s="55"/>
      <c r="G54" s="49">
        <v>20</v>
      </c>
      <c r="H54" s="55"/>
      <c r="I54" s="49">
        <v>21</v>
      </c>
      <c r="J54" s="53"/>
      <c r="M54" s="63"/>
      <c r="N54" s="68" t="s">
        <v>187</v>
      </c>
      <c r="O54" s="51">
        <v>1.5</v>
      </c>
      <c r="P54" s="63"/>
      <c r="Q54" s="36"/>
      <c r="R54" s="36"/>
      <c r="S54" s="36"/>
      <c r="V54" s="36"/>
      <c r="W54" s="36"/>
    </row>
    <row r="55" spans="2:23">
      <c r="B55" s="53"/>
      <c r="C55" s="55"/>
      <c r="D55" s="55"/>
      <c r="E55" s="55"/>
      <c r="F55" s="55"/>
      <c r="G55" s="55"/>
      <c r="H55" s="55"/>
      <c r="I55" s="55"/>
      <c r="J55" s="53"/>
      <c r="M55" s="63"/>
      <c r="N55" s="68"/>
      <c r="O55" s="68"/>
      <c r="P55" s="63"/>
      <c r="Q55" s="36"/>
      <c r="R55" s="36"/>
      <c r="S55" s="36"/>
      <c r="V55" s="36"/>
      <c r="W55" s="36"/>
    </row>
    <row r="56" spans="2:23" ht="15.75" thickBot="1">
      <c r="B56" s="53"/>
      <c r="C56" s="55">
        <v>20</v>
      </c>
      <c r="D56" s="55"/>
      <c r="E56" s="49">
        <v>19</v>
      </c>
      <c r="F56" s="55"/>
      <c r="G56" s="49">
        <v>20</v>
      </c>
      <c r="H56" s="55"/>
      <c r="I56" s="49">
        <v>22</v>
      </c>
      <c r="J56" s="53"/>
      <c r="M56" s="63"/>
      <c r="N56" s="70" t="s">
        <v>203</v>
      </c>
      <c r="O56" s="74">
        <f>SUM(O48:O54)</f>
        <v>7</v>
      </c>
      <c r="P56" s="63"/>
      <c r="Q56" s="36"/>
      <c r="R56" s="36"/>
      <c r="S56" s="36"/>
    </row>
    <row r="57" spans="2:23" ht="15.75" thickTop="1">
      <c r="B57" s="53"/>
      <c r="C57" s="55"/>
      <c r="D57" s="55"/>
      <c r="E57" s="55"/>
      <c r="F57" s="55"/>
      <c r="G57" s="55"/>
      <c r="H57" s="55"/>
      <c r="I57" s="55"/>
      <c r="J57" s="53"/>
      <c r="M57" s="63"/>
      <c r="N57" s="64"/>
      <c r="O57" s="64"/>
      <c r="P57" s="63"/>
      <c r="Q57" s="36"/>
      <c r="R57" s="36"/>
      <c r="S57" s="36"/>
    </row>
    <row r="58" spans="2:23">
      <c r="B58" s="53"/>
      <c r="C58" s="55">
        <v>21</v>
      </c>
      <c r="D58" s="55"/>
      <c r="E58" s="49">
        <v>22</v>
      </c>
      <c r="F58" s="55"/>
      <c r="G58" s="49">
        <v>20</v>
      </c>
      <c r="H58" s="55"/>
      <c r="I58" s="49">
        <v>22</v>
      </c>
      <c r="J58" s="53"/>
      <c r="M58" s="63"/>
      <c r="N58" s="64"/>
      <c r="O58" s="64"/>
      <c r="P58" s="63"/>
    </row>
    <row r="59" spans="2:23" ht="15.75" thickBot="1">
      <c r="B59" s="53"/>
      <c r="C59" s="55"/>
      <c r="D59" s="55"/>
      <c r="E59" s="55"/>
      <c r="F59" s="55"/>
      <c r="G59" s="55"/>
      <c r="H59" s="55"/>
      <c r="I59" s="55"/>
      <c r="J59" s="53"/>
      <c r="M59" s="63"/>
      <c r="N59" s="467" t="s">
        <v>367</v>
      </c>
      <c r="O59" s="467"/>
      <c r="P59" s="63"/>
    </row>
    <row r="60" spans="2:23" ht="16.5" thickTop="1" thickBot="1">
      <c r="B60" s="53"/>
      <c r="C60" s="55">
        <v>22</v>
      </c>
      <c r="D60" s="55"/>
      <c r="E60" s="49">
        <v>17</v>
      </c>
      <c r="F60" s="55"/>
      <c r="G60" s="49">
        <v>20</v>
      </c>
      <c r="H60" s="55"/>
      <c r="I60" s="49">
        <v>23</v>
      </c>
      <c r="J60" s="53"/>
      <c r="M60" s="63"/>
      <c r="N60" s="467"/>
      <c r="O60" s="467"/>
      <c r="P60" s="63"/>
    </row>
    <row r="61" spans="2:23" ht="15.75" thickTop="1">
      <c r="B61" s="53"/>
      <c r="C61" s="55"/>
      <c r="D61" s="55"/>
      <c r="E61" s="55"/>
      <c r="F61" s="55"/>
      <c r="G61" s="55"/>
      <c r="H61" s="55"/>
      <c r="I61" s="55"/>
      <c r="J61" s="53"/>
      <c r="M61" s="63"/>
      <c r="N61" s="64"/>
      <c r="O61" s="64"/>
      <c r="P61" s="63"/>
    </row>
    <row r="62" spans="2:23">
      <c r="B62" s="53"/>
      <c r="C62" s="55">
        <v>23</v>
      </c>
      <c r="D62" s="55"/>
      <c r="E62" s="49">
        <v>20</v>
      </c>
      <c r="F62" s="55"/>
      <c r="G62" s="49">
        <v>20</v>
      </c>
      <c r="H62" s="55"/>
      <c r="I62" s="49">
        <v>21</v>
      </c>
      <c r="J62" s="53"/>
      <c r="M62" s="63"/>
      <c r="N62" s="69" t="s">
        <v>201</v>
      </c>
      <c r="O62" s="70" t="s">
        <v>182</v>
      </c>
      <c r="P62" s="63"/>
    </row>
    <row r="63" spans="2:23">
      <c r="B63" s="53"/>
      <c r="C63" s="55"/>
      <c r="D63" s="55"/>
      <c r="E63" s="55"/>
      <c r="F63" s="55"/>
      <c r="G63" s="55"/>
      <c r="H63" s="55"/>
      <c r="I63" s="55"/>
      <c r="J63" s="53"/>
      <c r="M63" s="63"/>
      <c r="N63" s="69"/>
      <c r="O63" s="70" t="s">
        <v>243</v>
      </c>
      <c r="P63" s="63"/>
    </row>
    <row r="64" spans="2:23">
      <c r="B64" s="53"/>
      <c r="C64" s="55">
        <v>24</v>
      </c>
      <c r="D64" s="55"/>
      <c r="E64" s="49">
        <v>21</v>
      </c>
      <c r="F64" s="55"/>
      <c r="G64" s="49">
        <v>20</v>
      </c>
      <c r="H64" s="55"/>
      <c r="I64" s="49">
        <v>22</v>
      </c>
      <c r="J64" s="53"/>
      <c r="M64" s="63"/>
      <c r="N64" s="68" t="s">
        <v>187</v>
      </c>
      <c r="O64" s="51">
        <v>0</v>
      </c>
      <c r="P64" s="63"/>
    </row>
    <row r="65" spans="2:16">
      <c r="B65" s="53"/>
      <c r="C65" s="55"/>
      <c r="D65" s="55"/>
      <c r="E65" s="55"/>
      <c r="F65" s="55"/>
      <c r="G65" s="55"/>
      <c r="H65" s="55"/>
      <c r="I65" s="55"/>
      <c r="J65" s="53"/>
      <c r="M65" s="63"/>
      <c r="N65" s="68"/>
      <c r="O65" s="68"/>
      <c r="P65" s="63"/>
    </row>
    <row r="66" spans="2:16">
      <c r="B66" s="53"/>
      <c r="C66" s="55">
        <v>25</v>
      </c>
      <c r="D66" s="55"/>
      <c r="E66" s="49">
        <v>23</v>
      </c>
      <c r="F66" s="55"/>
      <c r="G66" s="49">
        <v>20</v>
      </c>
      <c r="H66" s="55"/>
      <c r="I66" s="49">
        <v>21</v>
      </c>
      <c r="J66" s="53"/>
      <c r="M66" s="63"/>
      <c r="N66" s="68" t="s">
        <v>188</v>
      </c>
      <c r="O66" s="51">
        <v>0.7</v>
      </c>
      <c r="P66" s="63"/>
    </row>
    <row r="67" spans="2:16">
      <c r="B67" s="53"/>
      <c r="C67" s="55"/>
      <c r="D67" s="55"/>
      <c r="E67" s="55"/>
      <c r="F67" s="55"/>
      <c r="G67" s="55"/>
      <c r="H67" s="55"/>
      <c r="I67" s="55"/>
      <c r="J67" s="53"/>
      <c r="M67" s="63"/>
      <c r="N67" s="68"/>
      <c r="O67" s="68"/>
      <c r="P67" s="63"/>
    </row>
    <row r="68" spans="2:16">
      <c r="B68" s="53"/>
      <c r="C68" s="55">
        <v>26</v>
      </c>
      <c r="D68" s="55"/>
      <c r="E68" s="49">
        <v>21</v>
      </c>
      <c r="F68" s="55"/>
      <c r="G68" s="49">
        <v>20</v>
      </c>
      <c r="H68" s="55"/>
      <c r="I68" s="49">
        <v>22</v>
      </c>
      <c r="J68" s="53"/>
      <c r="M68" s="63"/>
      <c r="N68" s="68" t="s">
        <v>189</v>
      </c>
      <c r="O68" s="51">
        <v>0.7</v>
      </c>
      <c r="P68" s="63"/>
    </row>
    <row r="69" spans="2:16">
      <c r="B69" s="53"/>
      <c r="C69" s="55"/>
      <c r="D69" s="55"/>
      <c r="E69" s="55"/>
      <c r="F69" s="55"/>
      <c r="G69" s="55"/>
      <c r="H69" s="55"/>
      <c r="I69" s="55"/>
      <c r="J69" s="53"/>
      <c r="M69" s="63"/>
      <c r="N69" s="68"/>
      <c r="O69" s="68"/>
      <c r="P69" s="63"/>
    </row>
    <row r="70" spans="2:16">
      <c r="B70" s="53"/>
      <c r="C70" s="55">
        <v>27</v>
      </c>
      <c r="D70" s="55"/>
      <c r="E70" s="49">
        <v>20</v>
      </c>
      <c r="F70" s="55"/>
      <c r="G70" s="49">
        <v>20</v>
      </c>
      <c r="H70" s="55"/>
      <c r="I70" s="49">
        <v>24</v>
      </c>
      <c r="J70" s="53"/>
      <c r="M70" s="63"/>
      <c r="N70" s="68" t="s">
        <v>190</v>
      </c>
      <c r="O70" s="51">
        <v>0.7</v>
      </c>
      <c r="P70" s="63"/>
    </row>
    <row r="71" spans="2:16">
      <c r="B71" s="53"/>
      <c r="C71" s="55"/>
      <c r="D71" s="55"/>
      <c r="E71" s="55"/>
      <c r="F71" s="55"/>
      <c r="G71" s="55"/>
      <c r="H71" s="55"/>
      <c r="I71" s="55"/>
      <c r="J71" s="53"/>
      <c r="M71" s="63"/>
      <c r="N71" s="68"/>
      <c r="O71" s="68"/>
      <c r="P71" s="63"/>
    </row>
    <row r="72" spans="2:16">
      <c r="B72" s="53"/>
      <c r="C72" s="55">
        <v>28</v>
      </c>
      <c r="D72" s="55"/>
      <c r="E72" s="49">
        <v>20</v>
      </c>
      <c r="F72" s="55"/>
      <c r="G72" s="49">
        <v>0</v>
      </c>
      <c r="H72" s="55"/>
      <c r="I72" s="49">
        <v>23</v>
      </c>
      <c r="J72" s="53"/>
      <c r="M72" s="63"/>
      <c r="N72" s="68" t="s">
        <v>191</v>
      </c>
      <c r="O72" s="51">
        <v>0.7</v>
      </c>
      <c r="P72" s="63"/>
    </row>
    <row r="73" spans="2:16">
      <c r="B73" s="53"/>
      <c r="C73" s="55"/>
      <c r="D73" s="55"/>
      <c r="E73" s="55"/>
      <c r="F73" s="55"/>
      <c r="G73" s="55"/>
      <c r="H73" s="55"/>
      <c r="I73" s="55"/>
      <c r="J73" s="53"/>
      <c r="M73" s="63"/>
      <c r="N73" s="68"/>
      <c r="O73" s="68"/>
      <c r="P73" s="63"/>
    </row>
    <row r="74" spans="2:16">
      <c r="B74" s="53"/>
      <c r="C74" s="55">
        <v>29</v>
      </c>
      <c r="D74" s="55"/>
      <c r="E74" s="49">
        <v>21</v>
      </c>
      <c r="F74" s="55"/>
      <c r="G74" s="49">
        <v>0</v>
      </c>
      <c r="H74" s="55"/>
      <c r="I74" s="49">
        <v>21</v>
      </c>
      <c r="J74" s="53"/>
      <c r="M74" s="63"/>
      <c r="N74" s="68" t="s">
        <v>192</v>
      </c>
      <c r="O74" s="51">
        <v>0.2</v>
      </c>
      <c r="P74" s="63"/>
    </row>
    <row r="75" spans="2:16">
      <c r="B75" s="53"/>
      <c r="C75" s="55"/>
      <c r="D75" s="53"/>
      <c r="E75" s="55"/>
      <c r="F75" s="55"/>
      <c r="G75" s="55"/>
      <c r="H75" s="55"/>
      <c r="I75" s="55"/>
      <c r="J75" s="53"/>
      <c r="M75" s="63"/>
      <c r="N75" s="68"/>
      <c r="O75" s="68"/>
      <c r="P75" s="63"/>
    </row>
    <row r="76" spans="2:16">
      <c r="B76" s="53"/>
      <c r="C76" s="55">
        <v>30</v>
      </c>
      <c r="D76" s="53"/>
      <c r="E76" s="49">
        <v>23</v>
      </c>
      <c r="F76" s="55"/>
      <c r="G76" s="49">
        <v>0</v>
      </c>
      <c r="H76" s="55"/>
      <c r="I76" s="49">
        <v>23</v>
      </c>
      <c r="J76" s="53"/>
      <c r="M76" s="63"/>
      <c r="N76" s="68" t="s">
        <v>193</v>
      </c>
      <c r="O76" s="51">
        <v>0</v>
      </c>
      <c r="P76" s="63"/>
    </row>
    <row r="77" spans="2:16">
      <c r="B77" s="53"/>
      <c r="C77" s="53"/>
      <c r="D77" s="53"/>
      <c r="E77" s="53"/>
      <c r="F77" s="53"/>
      <c r="G77" s="53"/>
      <c r="H77" s="53"/>
      <c r="I77" s="53"/>
      <c r="J77" s="53"/>
      <c r="M77" s="63"/>
      <c r="N77" s="68"/>
      <c r="O77" s="68"/>
      <c r="P77" s="63"/>
    </row>
    <row r="78" spans="2:16" ht="15.75" thickBot="1">
      <c r="M78" s="63"/>
      <c r="N78" s="70" t="s">
        <v>203</v>
      </c>
      <c r="O78" s="74">
        <f>SUM(O66:O76)</f>
        <v>3</v>
      </c>
      <c r="P78" s="63"/>
    </row>
    <row r="79" spans="2:16" ht="15.75" thickTop="1">
      <c r="M79" s="63"/>
      <c r="N79" s="63"/>
      <c r="O79" s="63"/>
      <c r="P79" s="63"/>
    </row>
    <row r="80" spans="2:16">
      <c r="M80" s="63"/>
      <c r="N80" s="63"/>
      <c r="O80" s="63"/>
      <c r="P80" s="63"/>
    </row>
  </sheetData>
  <mergeCells count="17">
    <mergeCell ref="N41:O42"/>
    <mergeCell ref="N59:O60"/>
    <mergeCell ref="N13:O14"/>
    <mergeCell ref="T13:U14"/>
    <mergeCell ref="S9:U10"/>
    <mergeCell ref="C2:J3"/>
    <mergeCell ref="C4:J4"/>
    <mergeCell ref="B9:H10"/>
    <mergeCell ref="M9:O10"/>
    <mergeCell ref="C13:I14"/>
    <mergeCell ref="Z29:AB30"/>
    <mergeCell ref="Z40:AA40"/>
    <mergeCell ref="Z41:AA41"/>
    <mergeCell ref="Z9:AC10"/>
    <mergeCell ref="Z12:AB13"/>
    <mergeCell ref="Z23:AA23"/>
    <mergeCell ref="Z24:AA24"/>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1"/>
  <dimension ref="A1:AK132"/>
  <sheetViews>
    <sheetView topLeftCell="A26" zoomScale="98" zoomScaleNormal="98" workbookViewId="0">
      <selection activeCell="K37" sqref="K37"/>
    </sheetView>
  </sheetViews>
  <sheetFormatPr defaultRowHeight="15"/>
  <cols>
    <col min="1" max="1" width="7.5703125" style="24" customWidth="1"/>
    <col min="2" max="2" width="6.28515625" customWidth="1"/>
    <col min="3" max="3" width="11.7109375" customWidth="1"/>
    <col min="4" max="4" width="12.85546875" style="2" customWidth="1"/>
    <col min="5" max="5" width="17.5703125" style="3" customWidth="1"/>
    <col min="6" max="6" width="21.5703125" customWidth="1"/>
    <col min="8" max="8" width="7.140625" style="24" customWidth="1"/>
    <col min="9" max="9" width="7" style="24" customWidth="1"/>
    <col min="10" max="10" width="6.85546875" style="24" customWidth="1"/>
    <col min="11" max="11" width="11.42578125" customWidth="1"/>
    <col min="12" max="12" width="11.7109375" customWidth="1"/>
    <col min="13" max="13" width="9.140625" customWidth="1"/>
    <col min="14" max="14" width="12.7109375" customWidth="1"/>
    <col min="15" max="15" width="10.7109375" customWidth="1"/>
    <col min="16" max="17" width="10" customWidth="1"/>
    <col min="18" max="18" width="14.85546875" customWidth="1"/>
    <col min="19" max="19" width="7.140625" customWidth="1"/>
    <col min="20" max="20" width="7.140625" style="17" customWidth="1"/>
    <col min="21" max="21" width="7.140625" style="24" customWidth="1"/>
    <col min="22" max="22" width="5.85546875" style="17" customWidth="1"/>
    <col min="23" max="23" width="12.42578125" style="17" customWidth="1"/>
    <col min="24" max="24" width="11" style="17" customWidth="1"/>
    <col min="25" max="25" width="11.85546875" style="17" customWidth="1"/>
    <col min="26" max="26" width="9.7109375" style="17" customWidth="1"/>
    <col min="27" max="27" width="12" style="17" customWidth="1"/>
    <col min="28" max="28" width="9.7109375" style="17" customWidth="1"/>
    <col min="29" max="29" width="12.140625" customWidth="1"/>
    <col min="30" max="30" width="12.5703125" customWidth="1"/>
    <col min="31" max="31" width="12.140625" customWidth="1"/>
    <col min="32" max="32" width="11.42578125" customWidth="1"/>
    <col min="33" max="33" width="12.140625" customWidth="1"/>
    <col min="34" max="34" width="2.42578125" customWidth="1"/>
    <col min="35" max="35" width="6.140625" customWidth="1"/>
    <col min="36" max="36" width="6.7109375" customWidth="1"/>
    <col min="37" max="37" width="7" customWidth="1"/>
  </cols>
  <sheetData>
    <row r="1" spans="1:37" s="24" customFormat="1">
      <c r="D1" s="25"/>
      <c r="E1" s="27"/>
    </row>
    <row r="2" spans="1:37" s="24" customFormat="1">
      <c r="D2" s="25"/>
      <c r="E2" s="27"/>
      <c r="P2" s="562" t="s">
        <v>25</v>
      </c>
      <c r="Q2" s="563"/>
      <c r="R2" s="563"/>
      <c r="S2" s="563"/>
      <c r="T2" s="564"/>
    </row>
    <row r="3" spans="1:37" s="24" customFormat="1" ht="15" customHeight="1" thickBot="1">
      <c r="C3" s="33"/>
      <c r="D3" s="33"/>
      <c r="E3" s="33"/>
      <c r="F3" s="33"/>
      <c r="G3" s="33"/>
      <c r="H3" s="106"/>
      <c r="I3" s="106"/>
      <c r="J3" s="106"/>
      <c r="L3" s="511" t="s">
        <v>289</v>
      </c>
      <c r="M3" s="511"/>
      <c r="N3" s="511"/>
      <c r="P3" s="565"/>
      <c r="Q3" s="566"/>
      <c r="R3" s="566"/>
      <c r="S3" s="566"/>
      <c r="T3" s="567"/>
      <c r="U3" s="41"/>
    </row>
    <row r="4" spans="1:37" s="24" customFormat="1" ht="15" customHeight="1" thickTop="1" thickBot="1">
      <c r="C4" s="33"/>
      <c r="D4" s="33"/>
      <c r="E4" s="33"/>
      <c r="F4" s="33"/>
      <c r="G4" s="33"/>
      <c r="H4" s="106"/>
      <c r="I4" s="106"/>
      <c r="J4" s="106"/>
      <c r="L4" s="511"/>
      <c r="M4" s="511"/>
      <c r="N4" s="511"/>
      <c r="P4" s="568" t="s">
        <v>65</v>
      </c>
      <c r="Q4" s="569"/>
      <c r="R4" s="569"/>
      <c r="S4" s="569"/>
      <c r="T4" s="570"/>
      <c r="U4" s="41"/>
    </row>
    <row r="5" spans="1:37" s="24" customFormat="1" ht="15.75" thickTop="1">
      <c r="C5" s="107"/>
      <c r="D5" s="107"/>
      <c r="E5" s="107"/>
      <c r="F5" s="107"/>
      <c r="G5" s="107"/>
      <c r="H5" s="32"/>
      <c r="I5" s="32"/>
      <c r="J5" s="32"/>
      <c r="L5" s="514" t="str">
        <f>Master!E33</f>
        <v>Assumed Stddev</v>
      </c>
      <c r="M5" s="514"/>
      <c r="N5" s="556" t="str">
        <f>IF(L5="Value By Experience",F44,IF(L5="Assumed Stddev",'Standard Deviation'!F39,IF(L5="Typical Value",'Standard Deviation'!F70,O76)))</f>
        <v>5</v>
      </c>
      <c r="P5" s="571" t="s">
        <v>26</v>
      </c>
      <c r="Q5" s="573"/>
      <c r="R5" s="572"/>
      <c r="S5" s="571">
        <f>Master!E9+1.65*'Standard Deviation'!N5:N6</f>
        <v>38.25</v>
      </c>
      <c r="T5" s="572"/>
      <c r="U5" s="40"/>
    </row>
    <row r="6" spans="1:37" s="24" customFormat="1">
      <c r="C6" s="32"/>
      <c r="D6" s="32"/>
      <c r="E6" s="32"/>
      <c r="F6" s="32"/>
      <c r="L6" s="514"/>
      <c r="M6" s="514"/>
      <c r="N6" s="556"/>
      <c r="U6" s="59"/>
    </row>
    <row r="7" spans="1:37">
      <c r="B7" s="96"/>
      <c r="C7" s="96"/>
      <c r="D7" s="97"/>
      <c r="E7" s="98"/>
      <c r="F7" s="96"/>
      <c r="G7" s="96"/>
      <c r="J7" s="63"/>
      <c r="K7" s="63"/>
      <c r="L7" s="63"/>
      <c r="M7" s="63"/>
      <c r="N7" s="63"/>
      <c r="O7" s="63"/>
      <c r="P7" s="63"/>
      <c r="Q7" s="63"/>
      <c r="R7" s="63"/>
      <c r="S7" s="63"/>
      <c r="V7" s="47"/>
      <c r="W7" s="47"/>
      <c r="X7" s="47"/>
      <c r="Y7" s="47"/>
      <c r="Z7" s="47"/>
      <c r="AA7" s="47"/>
      <c r="AB7" s="47"/>
      <c r="AC7" s="47"/>
      <c r="AD7" s="47"/>
      <c r="AE7" s="47"/>
      <c r="AF7" s="47"/>
      <c r="AG7" s="47"/>
      <c r="AH7" s="47"/>
      <c r="AI7" s="47"/>
      <c r="AJ7" s="47"/>
      <c r="AK7" s="47"/>
    </row>
    <row r="8" spans="1:37" ht="15.75" customHeight="1" thickBot="1">
      <c r="B8" s="520" t="s">
        <v>24</v>
      </c>
      <c r="C8" s="520"/>
      <c r="D8" s="520"/>
      <c r="E8" s="520"/>
      <c r="F8" s="520"/>
      <c r="G8" s="96"/>
      <c r="J8" s="63"/>
      <c r="K8" s="520" t="s">
        <v>63</v>
      </c>
      <c r="L8" s="520"/>
      <c r="M8" s="520"/>
      <c r="N8" s="520"/>
      <c r="O8" s="520"/>
      <c r="P8" s="520"/>
      <c r="Q8" s="520"/>
      <c r="R8" s="520"/>
      <c r="S8" s="63"/>
      <c r="T8" s="19"/>
      <c r="U8" s="19"/>
      <c r="V8" s="47"/>
      <c r="W8" s="520" t="s">
        <v>237</v>
      </c>
      <c r="X8" s="520"/>
      <c r="Y8" s="520"/>
      <c r="Z8" s="520"/>
      <c r="AA8" s="520"/>
      <c r="AB8" s="520"/>
      <c r="AC8" s="520"/>
      <c r="AD8" s="520"/>
      <c r="AE8" s="124"/>
      <c r="AF8" s="124"/>
      <c r="AG8" s="124"/>
      <c r="AH8" s="47"/>
      <c r="AI8" s="47"/>
      <c r="AJ8" s="47"/>
      <c r="AK8" s="47"/>
    </row>
    <row r="9" spans="1:37" ht="16.5" customHeight="1" thickTop="1" thickBot="1">
      <c r="B9" s="520"/>
      <c r="C9" s="520"/>
      <c r="D9" s="520"/>
      <c r="E9" s="520"/>
      <c r="F9" s="520"/>
      <c r="G9" s="96"/>
      <c r="J9" s="63"/>
      <c r="K9" s="520"/>
      <c r="L9" s="520"/>
      <c r="M9" s="520"/>
      <c r="N9" s="520"/>
      <c r="O9" s="520"/>
      <c r="P9" s="520"/>
      <c r="Q9" s="520"/>
      <c r="R9" s="520"/>
      <c r="S9" s="63"/>
      <c r="T9" s="19"/>
      <c r="U9" s="19"/>
      <c r="V9" s="47"/>
      <c r="W9" s="520"/>
      <c r="X9" s="520"/>
      <c r="Y9" s="520"/>
      <c r="Z9" s="520"/>
      <c r="AA9" s="520"/>
      <c r="AB9" s="520"/>
      <c r="AC9" s="520"/>
      <c r="AD9" s="520"/>
      <c r="AE9" s="124"/>
      <c r="AF9" s="124"/>
      <c r="AG9" s="124"/>
      <c r="AH9" s="47"/>
      <c r="AI9" s="47"/>
      <c r="AJ9" s="47"/>
      <c r="AK9" s="47"/>
    </row>
    <row r="10" spans="1:37" ht="15.75" thickTop="1">
      <c r="B10" s="96"/>
      <c r="C10" s="99"/>
      <c r="D10" s="96"/>
      <c r="E10" s="96"/>
      <c r="F10" s="96"/>
      <c r="G10" s="96"/>
      <c r="J10" s="63"/>
      <c r="K10" s="64"/>
      <c r="L10" s="68"/>
      <c r="M10" s="68"/>
      <c r="N10" s="68"/>
      <c r="O10" s="68"/>
      <c r="P10" s="68"/>
      <c r="Q10" s="68"/>
      <c r="R10" s="68"/>
      <c r="S10" s="63"/>
      <c r="T10" s="19"/>
      <c r="U10" s="19"/>
      <c r="V10" s="47"/>
      <c r="W10" s="44"/>
      <c r="X10" s="44"/>
      <c r="Y10" s="44"/>
      <c r="Z10" s="44"/>
      <c r="AA10" s="44"/>
      <c r="AB10" s="44"/>
      <c r="AC10" s="44"/>
      <c r="AD10" s="125"/>
      <c r="AE10" s="125"/>
      <c r="AF10" s="125"/>
      <c r="AG10" s="125"/>
      <c r="AH10" s="131"/>
      <c r="AI10" s="131"/>
      <c r="AJ10" s="131"/>
      <c r="AK10" s="47"/>
    </row>
    <row r="11" spans="1:37">
      <c r="B11" s="96"/>
      <c r="C11" s="156" t="s">
        <v>2</v>
      </c>
      <c r="D11" s="164" t="s">
        <v>58</v>
      </c>
      <c r="E11" s="156" t="s">
        <v>179</v>
      </c>
      <c r="F11" s="155" t="s">
        <v>57</v>
      </c>
      <c r="G11" s="96"/>
      <c r="H11" s="26"/>
      <c r="I11" s="26"/>
      <c r="J11" s="64"/>
      <c r="K11" s="144"/>
      <c r="L11" s="559" t="s">
        <v>1</v>
      </c>
      <c r="M11" s="560"/>
      <c r="N11" s="561"/>
      <c r="O11" s="145" t="s">
        <v>14</v>
      </c>
      <c r="P11" s="145" t="s">
        <v>20</v>
      </c>
      <c r="Q11" s="145" t="s">
        <v>21</v>
      </c>
      <c r="R11" s="145"/>
      <c r="S11" s="63"/>
      <c r="T11" s="19"/>
      <c r="U11" s="19"/>
      <c r="V11" s="47"/>
      <c r="W11" s="538" t="s">
        <v>390</v>
      </c>
      <c r="X11" s="539"/>
      <c r="Y11" s="539"/>
      <c r="Z11" s="540"/>
      <c r="AA11" s="138" t="s">
        <v>217</v>
      </c>
      <c r="AB11" s="547" t="s">
        <v>219</v>
      </c>
      <c r="AC11" s="548"/>
      <c r="AD11" s="547" t="s">
        <v>221</v>
      </c>
      <c r="AE11" s="549"/>
      <c r="AF11" s="549"/>
      <c r="AG11" s="548"/>
      <c r="AH11" s="47"/>
      <c r="AI11" s="526" t="s">
        <v>490</v>
      </c>
      <c r="AJ11" s="527"/>
      <c r="AK11" s="47"/>
    </row>
    <row r="12" spans="1:37" s="7" customFormat="1" ht="15.75" customHeight="1">
      <c r="A12" s="24"/>
      <c r="B12" s="96"/>
      <c r="C12" s="157"/>
      <c r="D12" s="165" t="s">
        <v>56</v>
      </c>
      <c r="E12" s="157" t="s">
        <v>178</v>
      </c>
      <c r="F12" s="167" t="s">
        <v>181</v>
      </c>
      <c r="G12" s="12"/>
      <c r="H12" s="24"/>
      <c r="I12" s="24"/>
      <c r="J12" s="63"/>
      <c r="K12" s="146" t="s">
        <v>0</v>
      </c>
      <c r="L12" s="147"/>
      <c r="M12" s="148" t="s">
        <v>62</v>
      </c>
      <c r="N12" s="149"/>
      <c r="O12" s="146" t="s">
        <v>62</v>
      </c>
      <c r="P12" s="146" t="s">
        <v>62</v>
      </c>
      <c r="Q12" s="146" t="s">
        <v>62</v>
      </c>
      <c r="R12" s="150" t="s">
        <v>22</v>
      </c>
      <c r="S12" s="63"/>
      <c r="T12" s="19"/>
      <c r="U12" s="19"/>
      <c r="V12" s="44"/>
      <c r="W12" s="541"/>
      <c r="X12" s="542"/>
      <c r="Y12" s="542"/>
      <c r="Z12" s="543"/>
      <c r="AA12" s="139" t="s">
        <v>218</v>
      </c>
      <c r="AB12" s="139" t="s">
        <v>224</v>
      </c>
      <c r="AC12" s="140" t="s">
        <v>220</v>
      </c>
      <c r="AD12" s="138" t="s">
        <v>222</v>
      </c>
      <c r="AE12" s="138" t="s">
        <v>223</v>
      </c>
      <c r="AF12" s="138" t="s">
        <v>239</v>
      </c>
      <c r="AG12" s="140" t="s">
        <v>220</v>
      </c>
      <c r="AH12" s="47"/>
      <c r="AI12" s="526"/>
      <c r="AJ12" s="527"/>
      <c r="AK12" s="47"/>
    </row>
    <row r="13" spans="1:37" s="7" customFormat="1">
      <c r="A13" s="24"/>
      <c r="B13" s="96"/>
      <c r="C13" s="158"/>
      <c r="D13" s="166" t="s">
        <v>226</v>
      </c>
      <c r="E13" s="161"/>
      <c r="F13" s="210" t="s">
        <v>62</v>
      </c>
      <c r="G13" s="96"/>
      <c r="H13" s="24"/>
      <c r="I13" s="24"/>
      <c r="J13" s="63"/>
      <c r="K13" s="151"/>
      <c r="L13" s="152" t="s">
        <v>59</v>
      </c>
      <c r="M13" s="153" t="s">
        <v>60</v>
      </c>
      <c r="N13" s="154" t="s">
        <v>61</v>
      </c>
      <c r="O13" s="151"/>
      <c r="P13" s="151"/>
      <c r="Q13" s="151"/>
      <c r="R13" s="151"/>
      <c r="S13" s="63"/>
      <c r="T13" s="19"/>
      <c r="U13" s="19"/>
      <c r="V13" s="44"/>
      <c r="W13" s="544"/>
      <c r="X13" s="545"/>
      <c r="Y13" s="545"/>
      <c r="Z13" s="546"/>
      <c r="AA13" s="141"/>
      <c r="AB13" s="142" t="s">
        <v>225</v>
      </c>
      <c r="AC13" s="143"/>
      <c r="AD13" s="142"/>
      <c r="AE13" s="142"/>
      <c r="AF13" s="142" t="s">
        <v>238</v>
      </c>
      <c r="AG13" s="143"/>
      <c r="AH13" s="131"/>
      <c r="AI13" s="528"/>
      <c r="AJ13" s="529"/>
      <c r="AK13" s="47"/>
    </row>
    <row r="14" spans="1:37">
      <c r="B14" s="96"/>
      <c r="C14" s="159"/>
      <c r="D14" s="160"/>
      <c r="E14" s="208"/>
      <c r="F14" s="172"/>
      <c r="G14" s="96"/>
      <c r="J14" s="63"/>
      <c r="K14" s="109"/>
      <c r="L14" s="64"/>
      <c r="M14" s="64"/>
      <c r="N14" s="64"/>
      <c r="O14" s="109"/>
      <c r="P14" s="109"/>
      <c r="Q14" s="109"/>
      <c r="R14" s="109"/>
      <c r="S14" s="63"/>
      <c r="T14" s="19"/>
      <c r="U14" s="19"/>
      <c r="V14" s="127"/>
      <c r="W14" s="126"/>
      <c r="X14" s="126"/>
      <c r="Y14" s="126"/>
      <c r="Z14" s="128"/>
      <c r="AA14" s="137"/>
      <c r="AB14" s="133"/>
      <c r="AC14" s="133"/>
      <c r="AD14" s="137"/>
      <c r="AE14" s="133"/>
      <c r="AF14" s="137"/>
      <c r="AG14" s="129"/>
      <c r="AH14" s="47"/>
      <c r="AI14" s="47"/>
      <c r="AJ14" s="127"/>
      <c r="AK14" s="47"/>
    </row>
    <row r="15" spans="1:37">
      <c r="B15" s="96"/>
      <c r="C15" s="160" t="s">
        <v>3</v>
      </c>
      <c r="D15" s="160">
        <v>10</v>
      </c>
      <c r="E15" s="162">
        <v>10</v>
      </c>
      <c r="F15" s="534">
        <v>3.5</v>
      </c>
      <c r="G15" s="96"/>
      <c r="J15" s="63"/>
      <c r="K15" s="112">
        <v>1</v>
      </c>
      <c r="L15" s="68">
        <f>Tests!E18</f>
        <v>22</v>
      </c>
      <c r="M15" s="68">
        <f>Tests!G18</f>
        <v>0</v>
      </c>
      <c r="N15" s="68">
        <f>Tests!I18</f>
        <v>22</v>
      </c>
      <c r="O15" s="120">
        <f>(L15+M15+N15)/3</f>
        <v>14.666666666666666</v>
      </c>
      <c r="P15" s="110">
        <f>O15*0.85</f>
        <v>12.466666666666665</v>
      </c>
      <c r="Q15" s="110">
        <f>1.15*O15</f>
        <v>16.866666666666664</v>
      </c>
      <c r="R15" s="118">
        <f t="shared" ref="R15:R73" si="0">IF(AND(L15&gt;=P15,M15&gt;=P15,N15&gt;=P15,L15&lt;=Q15,M15&lt;=Q15,N15&lt;=Q15),O15,0)</f>
        <v>0</v>
      </c>
      <c r="S15" s="63"/>
      <c r="T15" s="19"/>
      <c r="U15" s="19"/>
      <c r="V15" s="47"/>
      <c r="W15" s="118">
        <v>22</v>
      </c>
      <c r="X15" s="118">
        <v>23</v>
      </c>
      <c r="Y15" s="118">
        <v>21</v>
      </c>
      <c r="Z15" s="118">
        <v>21.666666666666668</v>
      </c>
      <c r="AA15" s="120">
        <f>AVERAGE(W15:Z15)</f>
        <v>21.916666666666668</v>
      </c>
      <c r="AB15" s="134">
        <f>IF(OR((Master!E9=10),(Master!E9=15)),Master!E9-3,Master!E9-4)</f>
        <v>26</v>
      </c>
      <c r="AC15" s="179" t="str">
        <f t="shared" ref="AC15:AC29" si="1">IF(AND((W15&gt;=AB15),(X15&gt;=AB15),(Y15&gt;=AB15),(Z15&gt;=AB15)),"PASS","FAIL")</f>
        <v>FAIL</v>
      </c>
      <c r="AD15" s="135">
        <f>Master!E9+0.825*$O$78</f>
        <v>32.741192851137356</v>
      </c>
      <c r="AE15" s="134">
        <f>IF(Master!E9&lt;=15,Master!E9+3,Master!E9+4)</f>
        <v>34</v>
      </c>
      <c r="AF15" s="135">
        <f t="shared" ref="AF15:AF29" si="2">MAX(AD15:AE15)</f>
        <v>34</v>
      </c>
      <c r="AG15" s="180" t="str">
        <f t="shared" ref="AG15:AG29" si="3">IF(AA15&gt;=AF15,"PASS","FAIL")</f>
        <v>FAIL</v>
      </c>
      <c r="AH15" s="47"/>
      <c r="AI15" s="524" t="str">
        <f>IF(AND(AC15="PASS",AG15="PASS"),"PASS","FAIL")</f>
        <v>FAIL</v>
      </c>
      <c r="AJ15" s="525"/>
      <c r="AK15" s="47"/>
    </row>
    <row r="16" spans="1:37">
      <c r="B16" s="96"/>
      <c r="C16" s="160" t="s">
        <v>4</v>
      </c>
      <c r="D16" s="160">
        <v>15</v>
      </c>
      <c r="E16" s="160">
        <v>15</v>
      </c>
      <c r="F16" s="535"/>
      <c r="G16" s="96"/>
      <c r="J16" s="63"/>
      <c r="K16" s="112"/>
      <c r="L16" s="68"/>
      <c r="M16" s="68"/>
      <c r="N16" s="68"/>
      <c r="O16" s="110"/>
      <c r="P16" s="110"/>
      <c r="Q16" s="110"/>
      <c r="R16" s="110"/>
      <c r="S16" s="63"/>
      <c r="T16" s="19"/>
      <c r="U16" s="19"/>
      <c r="V16" s="47"/>
      <c r="W16" s="173"/>
      <c r="X16" s="173"/>
      <c r="Y16" s="173"/>
      <c r="Z16" s="173"/>
      <c r="AA16" s="174"/>
      <c r="AB16" s="134"/>
      <c r="AC16" s="140"/>
      <c r="AD16" s="135"/>
      <c r="AE16" s="134"/>
      <c r="AF16" s="135"/>
      <c r="AG16" s="181"/>
      <c r="AH16" s="47"/>
      <c r="AI16" s="416"/>
      <c r="AJ16" s="417"/>
      <c r="AK16" s="47"/>
    </row>
    <row r="17" spans="2:37">
      <c r="B17" s="96"/>
      <c r="C17" s="160"/>
      <c r="D17" s="160"/>
      <c r="E17" s="160"/>
      <c r="F17" s="171"/>
      <c r="G17" s="96"/>
      <c r="J17" s="63"/>
      <c r="K17" s="112">
        <v>2</v>
      </c>
      <c r="L17" s="68">
        <f>Tests!E20</f>
        <v>22</v>
      </c>
      <c r="M17" s="68">
        <f>Tests!G20</f>
        <v>0</v>
      </c>
      <c r="N17" s="68">
        <f>Tests!I20</f>
        <v>22</v>
      </c>
      <c r="O17" s="120">
        <f t="shared" ref="O17:O73" si="4">(L17+M17+N17)/3</f>
        <v>14.666666666666666</v>
      </c>
      <c r="P17" s="110">
        <f t="shared" ref="P17:P73" si="5">O17*0.85</f>
        <v>12.466666666666665</v>
      </c>
      <c r="Q17" s="110">
        <f t="shared" ref="Q17:Q73" si="6">1.15*O17</f>
        <v>16.866666666666664</v>
      </c>
      <c r="R17" s="118">
        <f t="shared" si="0"/>
        <v>0</v>
      </c>
      <c r="S17" s="63"/>
      <c r="T17" s="19"/>
      <c r="U17" s="19"/>
      <c r="V17" s="47"/>
      <c r="W17" s="118">
        <v>21</v>
      </c>
      <c r="X17" s="118">
        <v>20.333333333333332</v>
      </c>
      <c r="Y17" s="118">
        <v>20.666666666666668</v>
      </c>
      <c r="Z17" s="118">
        <v>20.666666666666668</v>
      </c>
      <c r="AA17" s="120">
        <f t="shared" ref="AA17:AA23" si="7">AVERAGE(W17:Z17)</f>
        <v>20.666666666666668</v>
      </c>
      <c r="AB17" s="134">
        <f>IF(OR((Master!E9=10),(Master!E9=15)),Master!E9-3,Master!E9-4)</f>
        <v>26</v>
      </c>
      <c r="AC17" s="179" t="str">
        <f t="shared" si="1"/>
        <v>FAIL</v>
      </c>
      <c r="AD17" s="135">
        <f>Master!E9+0.825*$O$78</f>
        <v>32.741192851137356</v>
      </c>
      <c r="AE17" s="134">
        <f>IF(Master!E9&lt;=15,Master!E9+3,Master!E9+4)</f>
        <v>34</v>
      </c>
      <c r="AF17" s="135">
        <f t="shared" si="2"/>
        <v>34</v>
      </c>
      <c r="AG17" s="182" t="str">
        <f t="shared" si="3"/>
        <v>FAIL</v>
      </c>
      <c r="AH17" s="47"/>
      <c r="AI17" s="524" t="str">
        <f>IF(AND(AC17="PASS",AG17="PASS"),"PASS","FAIL")</f>
        <v>FAIL</v>
      </c>
      <c r="AJ17" s="525"/>
      <c r="AK17" s="47"/>
    </row>
    <row r="18" spans="2:37">
      <c r="B18" s="96"/>
      <c r="C18" s="160" t="s">
        <v>5</v>
      </c>
      <c r="D18" s="160">
        <v>20</v>
      </c>
      <c r="E18" s="160">
        <v>20</v>
      </c>
      <c r="F18" s="536">
        <v>4</v>
      </c>
      <c r="G18" s="96"/>
      <c r="J18" s="63"/>
      <c r="K18" s="112"/>
      <c r="L18" s="68"/>
      <c r="M18" s="68"/>
      <c r="N18" s="68"/>
      <c r="O18" s="110"/>
      <c r="P18" s="110"/>
      <c r="Q18" s="110"/>
      <c r="R18" s="110"/>
      <c r="S18" s="63"/>
      <c r="T18" s="19"/>
      <c r="U18" s="19"/>
      <c r="V18" s="47"/>
      <c r="W18" s="175"/>
      <c r="X18" s="175"/>
      <c r="Y18" s="175"/>
      <c r="Z18" s="175"/>
      <c r="AA18" s="129"/>
      <c r="AB18" s="134"/>
      <c r="AC18" s="140"/>
      <c r="AD18" s="135"/>
      <c r="AE18" s="134"/>
      <c r="AF18" s="135"/>
      <c r="AG18" s="181"/>
      <c r="AH18" s="47"/>
      <c r="AI18" s="416"/>
      <c r="AJ18" s="417"/>
      <c r="AK18" s="47"/>
    </row>
    <row r="19" spans="2:37">
      <c r="B19" s="96"/>
      <c r="C19" s="160" t="s">
        <v>6</v>
      </c>
      <c r="D19" s="160">
        <v>25</v>
      </c>
      <c r="E19" s="160">
        <v>25</v>
      </c>
      <c r="F19" s="537"/>
      <c r="G19" s="96"/>
      <c r="J19" s="63"/>
      <c r="K19" s="112">
        <v>3</v>
      </c>
      <c r="L19" s="68">
        <f>Tests!E22</f>
        <v>19</v>
      </c>
      <c r="M19" s="68">
        <f>Tests!G22</f>
        <v>0</v>
      </c>
      <c r="N19" s="68">
        <f>Tests!I22</f>
        <v>22</v>
      </c>
      <c r="O19" s="120">
        <f t="shared" si="4"/>
        <v>13.666666666666666</v>
      </c>
      <c r="P19" s="110">
        <f t="shared" si="5"/>
        <v>11.616666666666665</v>
      </c>
      <c r="Q19" s="110">
        <f t="shared" si="6"/>
        <v>15.716666666666665</v>
      </c>
      <c r="R19" s="118">
        <f t="shared" si="0"/>
        <v>0</v>
      </c>
      <c r="S19" s="63"/>
      <c r="T19" s="19"/>
      <c r="U19" s="19"/>
      <c r="V19" s="47"/>
      <c r="W19" s="118">
        <v>21.666666666666668</v>
      </c>
      <c r="X19" s="118">
        <v>20.333333333333332</v>
      </c>
      <c r="Y19" s="118">
        <v>20.333333333333332</v>
      </c>
      <c r="Z19" s="118">
        <v>21.333333333333332</v>
      </c>
      <c r="AA19" s="120">
        <f t="shared" si="7"/>
        <v>20.916666666666664</v>
      </c>
      <c r="AB19" s="134">
        <f>IF(OR((Master!E9=10),(Master!E9=15)),Master!E9-3,Master!E9-4)</f>
        <v>26</v>
      </c>
      <c r="AC19" s="179" t="str">
        <f t="shared" si="1"/>
        <v>FAIL</v>
      </c>
      <c r="AD19" s="135">
        <f>Master!E9+0.825*$O$78</f>
        <v>32.741192851137356</v>
      </c>
      <c r="AE19" s="134">
        <f>IF(Master!E9&lt;=15,Master!E9+3,Master!E9+4)</f>
        <v>34</v>
      </c>
      <c r="AF19" s="135">
        <f t="shared" si="2"/>
        <v>34</v>
      </c>
      <c r="AG19" s="182" t="str">
        <f t="shared" si="3"/>
        <v>FAIL</v>
      </c>
      <c r="AH19" s="47"/>
      <c r="AI19" s="524" t="str">
        <f>IF(AND(AC19="PASS",AG19="PASS"),"PASS","FAIL")</f>
        <v>FAIL</v>
      </c>
      <c r="AJ19" s="525"/>
      <c r="AK19" s="47"/>
    </row>
    <row r="20" spans="2:37">
      <c r="B20" s="96"/>
      <c r="C20" s="160"/>
      <c r="D20" s="160"/>
      <c r="E20" s="160"/>
      <c r="F20" s="171"/>
      <c r="G20" s="96"/>
      <c r="H20" s="26"/>
      <c r="I20" s="26"/>
      <c r="J20" s="64"/>
      <c r="K20" s="112"/>
      <c r="L20" s="68"/>
      <c r="M20" s="68"/>
      <c r="N20" s="68"/>
      <c r="O20" s="110"/>
      <c r="P20" s="110"/>
      <c r="Q20" s="110"/>
      <c r="R20" s="110"/>
      <c r="S20" s="63"/>
      <c r="T20" s="19"/>
      <c r="U20" s="19"/>
      <c r="V20" s="47"/>
      <c r="W20" s="175"/>
      <c r="X20" s="175"/>
      <c r="Y20" s="175"/>
      <c r="Z20" s="175"/>
      <c r="AA20" s="174"/>
      <c r="AB20" s="134"/>
      <c r="AC20" s="140"/>
      <c r="AD20" s="135"/>
      <c r="AE20" s="134"/>
      <c r="AF20" s="135"/>
      <c r="AG20" s="181"/>
      <c r="AH20" s="47"/>
      <c r="AI20" s="416"/>
      <c r="AJ20" s="417"/>
      <c r="AK20" s="47"/>
    </row>
    <row r="21" spans="2:37">
      <c r="B21" s="96"/>
      <c r="C21" s="160" t="s">
        <v>7</v>
      </c>
      <c r="D21" s="160">
        <v>30</v>
      </c>
      <c r="E21" s="160">
        <v>30</v>
      </c>
      <c r="F21" s="208"/>
      <c r="G21" s="96"/>
      <c r="J21" s="63"/>
      <c r="K21" s="112">
        <v>4</v>
      </c>
      <c r="L21" s="68">
        <f>Tests!E24</f>
        <v>18</v>
      </c>
      <c r="M21" s="68">
        <f>Tests!G24</f>
        <v>0</v>
      </c>
      <c r="N21" s="68">
        <f>Tests!I24</f>
        <v>23</v>
      </c>
      <c r="O21" s="120">
        <f t="shared" si="4"/>
        <v>13.666666666666666</v>
      </c>
      <c r="P21" s="110">
        <f t="shared" si="5"/>
        <v>11.616666666666665</v>
      </c>
      <c r="Q21" s="110">
        <f t="shared" si="6"/>
        <v>15.716666666666665</v>
      </c>
      <c r="R21" s="118">
        <f t="shared" si="0"/>
        <v>0</v>
      </c>
      <c r="S21" s="63"/>
      <c r="V21" s="47"/>
      <c r="W21" s="118">
        <v>20</v>
      </c>
      <c r="X21" s="118">
        <v>20.333333333333332</v>
      </c>
      <c r="Y21" s="118">
        <v>21</v>
      </c>
      <c r="Z21" s="118">
        <v>21.333333333333332</v>
      </c>
      <c r="AA21" s="120">
        <f t="shared" si="7"/>
        <v>20.666666666666664</v>
      </c>
      <c r="AB21" s="134">
        <f>IF(OR((Master!E9=10),(Master!E9=15)),Master!E9-3,Master!E9-4)</f>
        <v>26</v>
      </c>
      <c r="AC21" s="179" t="str">
        <f t="shared" si="1"/>
        <v>FAIL</v>
      </c>
      <c r="AD21" s="135">
        <f>Master!E9+0.825*$O$78</f>
        <v>32.741192851137356</v>
      </c>
      <c r="AE21" s="134">
        <f>IF(Master!E9&lt;=15,Master!E9+3,Master!E9+4)</f>
        <v>34</v>
      </c>
      <c r="AF21" s="135">
        <f t="shared" si="2"/>
        <v>34</v>
      </c>
      <c r="AG21" s="182" t="str">
        <f t="shared" si="3"/>
        <v>FAIL</v>
      </c>
      <c r="AH21" s="47"/>
      <c r="AI21" s="524" t="str">
        <f>IF(AND(AC21="PASS",AG21="PASS"),"PASS","FAIL")</f>
        <v>FAIL</v>
      </c>
      <c r="AJ21" s="525"/>
      <c r="AK21" s="47"/>
    </row>
    <row r="22" spans="2:37">
      <c r="B22" s="96"/>
      <c r="C22" s="160" t="s">
        <v>8</v>
      </c>
      <c r="D22" s="160">
        <v>35</v>
      </c>
      <c r="E22" s="160">
        <v>35</v>
      </c>
      <c r="F22" s="208"/>
      <c r="G22" s="96"/>
      <c r="J22" s="63"/>
      <c r="K22" s="112"/>
      <c r="L22" s="68"/>
      <c r="M22" s="68"/>
      <c r="N22" s="68"/>
      <c r="O22" s="110"/>
      <c r="P22" s="110"/>
      <c r="Q22" s="110"/>
      <c r="R22" s="110"/>
      <c r="S22" s="63"/>
      <c r="V22" s="47"/>
      <c r="W22" s="175"/>
      <c r="X22" s="175"/>
      <c r="Y22" s="175"/>
      <c r="Z22" s="175"/>
      <c r="AA22" s="174"/>
      <c r="AB22" s="134"/>
      <c r="AC22" s="140"/>
      <c r="AD22" s="135"/>
      <c r="AE22" s="134"/>
      <c r="AF22" s="135"/>
      <c r="AG22" s="181"/>
      <c r="AH22" s="47"/>
      <c r="AI22" s="416"/>
      <c r="AJ22" s="417"/>
      <c r="AK22" s="47"/>
    </row>
    <row r="23" spans="2:37">
      <c r="B23" s="96"/>
      <c r="C23" s="160" t="s">
        <v>9</v>
      </c>
      <c r="D23" s="160">
        <v>40</v>
      </c>
      <c r="E23" s="160">
        <v>40</v>
      </c>
      <c r="F23" s="159">
        <v>5</v>
      </c>
      <c r="G23" s="96"/>
      <c r="J23" s="63"/>
      <c r="K23" s="112">
        <v>5</v>
      </c>
      <c r="L23" s="68">
        <f>Tests!E26</f>
        <v>20</v>
      </c>
      <c r="M23" s="68">
        <f>Tests!G26</f>
        <v>0</v>
      </c>
      <c r="N23" s="68">
        <f>Tests!I26</f>
        <v>25</v>
      </c>
      <c r="O23" s="120">
        <f t="shared" si="4"/>
        <v>15</v>
      </c>
      <c r="P23" s="110">
        <f t="shared" si="5"/>
        <v>12.75</v>
      </c>
      <c r="Q23" s="110">
        <f t="shared" si="6"/>
        <v>17.25</v>
      </c>
      <c r="R23" s="118">
        <f t="shared" si="0"/>
        <v>0</v>
      </c>
      <c r="S23" s="63"/>
      <c r="V23" s="47"/>
      <c r="W23" s="118">
        <v>21</v>
      </c>
      <c r="X23" s="118">
        <v>21.333333333333332</v>
      </c>
      <c r="Y23" s="118">
        <v>0</v>
      </c>
      <c r="Z23" s="118">
        <v>0</v>
      </c>
      <c r="AA23" s="120">
        <f t="shared" si="7"/>
        <v>10.583333333333332</v>
      </c>
      <c r="AB23" s="134">
        <f>IF(OR((Master!E9=10),(Master!E9=15)),Master!E9-3,Master!E9-4)</f>
        <v>26</v>
      </c>
      <c r="AC23" s="179" t="str">
        <f t="shared" si="1"/>
        <v>FAIL</v>
      </c>
      <c r="AD23" s="135">
        <f>Master!E9+0.825*$O$78</f>
        <v>32.741192851137356</v>
      </c>
      <c r="AE23" s="134">
        <f>IF(Master!E9&lt;=15,Master!E9+3,Master!E9+4)</f>
        <v>34</v>
      </c>
      <c r="AF23" s="135">
        <f t="shared" si="2"/>
        <v>34</v>
      </c>
      <c r="AG23" s="182" t="str">
        <f t="shared" si="3"/>
        <v>FAIL</v>
      </c>
      <c r="AH23" s="47"/>
      <c r="AI23" s="524" t="str">
        <f>IF(AND(AC23="PASS",AG23="PASS"),"PASS","FAIL")</f>
        <v>FAIL</v>
      </c>
      <c r="AJ23" s="525"/>
      <c r="AK23" s="47"/>
    </row>
    <row r="24" spans="2:37">
      <c r="B24" s="96"/>
      <c r="C24" s="160" t="s">
        <v>10</v>
      </c>
      <c r="D24" s="160">
        <v>45</v>
      </c>
      <c r="E24" s="160">
        <v>45</v>
      </c>
      <c r="F24" s="208"/>
      <c r="G24" s="96"/>
      <c r="J24" s="63"/>
      <c r="K24" s="112"/>
      <c r="L24" s="68"/>
      <c r="M24" s="68"/>
      <c r="N24" s="68"/>
      <c r="O24" s="110"/>
      <c r="P24" s="110"/>
      <c r="Q24" s="110"/>
      <c r="R24" s="110"/>
      <c r="S24" s="63"/>
      <c r="T24" s="22"/>
      <c r="U24" s="22"/>
      <c r="V24" s="47"/>
      <c r="W24" s="175"/>
      <c r="X24" s="175"/>
      <c r="Y24" s="175"/>
      <c r="Z24" s="175"/>
      <c r="AA24" s="174"/>
      <c r="AB24" s="134"/>
      <c r="AC24" s="140"/>
      <c r="AD24" s="135"/>
      <c r="AE24" s="134"/>
      <c r="AF24" s="135"/>
      <c r="AG24" s="181"/>
      <c r="AH24" s="47"/>
      <c r="AI24" s="416"/>
      <c r="AJ24" s="417"/>
      <c r="AK24" s="47"/>
    </row>
    <row r="25" spans="2:37">
      <c r="B25" s="96"/>
      <c r="C25" s="160" t="s">
        <v>11</v>
      </c>
      <c r="D25" s="160">
        <v>50</v>
      </c>
      <c r="E25" s="160">
        <v>50</v>
      </c>
      <c r="F25" s="208"/>
      <c r="G25" s="96"/>
      <c r="J25" s="63"/>
      <c r="K25" s="112">
        <v>6</v>
      </c>
      <c r="L25" s="68">
        <f>Tests!E28</f>
        <v>21.9</v>
      </c>
      <c r="M25" s="68">
        <f>Tests!G28</f>
        <v>0</v>
      </c>
      <c r="N25" s="68">
        <f>Tests!I28</f>
        <v>24</v>
      </c>
      <c r="O25" s="120">
        <f t="shared" si="4"/>
        <v>15.299999999999999</v>
      </c>
      <c r="P25" s="110">
        <f t="shared" si="5"/>
        <v>13.004999999999999</v>
      </c>
      <c r="Q25" s="110">
        <f t="shared" si="6"/>
        <v>17.594999999999999</v>
      </c>
      <c r="R25" s="118">
        <f t="shared" si="0"/>
        <v>0</v>
      </c>
      <c r="S25" s="63"/>
      <c r="V25" s="47"/>
      <c r="W25" s="118">
        <v>0</v>
      </c>
      <c r="X25" s="118">
        <v>0</v>
      </c>
      <c r="Y25" s="118">
        <v>0</v>
      </c>
      <c r="Z25" s="118">
        <v>0</v>
      </c>
      <c r="AA25" s="120">
        <v>0</v>
      </c>
      <c r="AB25" s="134">
        <f>IF(OR((Master!E9=10),(Master!E9=15)),Master!E9-3,Master!E9-4)</f>
        <v>26</v>
      </c>
      <c r="AC25" s="179" t="str">
        <f t="shared" si="1"/>
        <v>FAIL</v>
      </c>
      <c r="AD25" s="135">
        <f>Master!E9+0.825*$O$78</f>
        <v>32.741192851137356</v>
      </c>
      <c r="AE25" s="134">
        <f>IF(Master!E9&lt;=15,Master!E9+3,Master!E9+4)</f>
        <v>34</v>
      </c>
      <c r="AF25" s="135">
        <f t="shared" si="2"/>
        <v>34</v>
      </c>
      <c r="AG25" s="182" t="str">
        <f t="shared" si="3"/>
        <v>FAIL</v>
      </c>
      <c r="AH25" s="47"/>
      <c r="AI25" s="524" t="str">
        <f>IF(AND(AC25="PASS",AG25="PASS"),"PASS","FAIL")</f>
        <v>FAIL</v>
      </c>
      <c r="AJ25" s="525"/>
      <c r="AK25" s="47"/>
    </row>
    <row r="26" spans="2:37">
      <c r="B26" s="96"/>
      <c r="C26" s="163" t="s">
        <v>12</v>
      </c>
      <c r="D26" s="163">
        <v>55</v>
      </c>
      <c r="E26" s="163">
        <v>55</v>
      </c>
      <c r="F26" s="209"/>
      <c r="G26" s="96"/>
      <c r="J26" s="63"/>
      <c r="K26" s="112"/>
      <c r="L26" s="68"/>
      <c r="M26" s="68"/>
      <c r="N26" s="68"/>
      <c r="O26" s="110"/>
      <c r="P26" s="110"/>
      <c r="Q26" s="110"/>
      <c r="R26" s="110"/>
      <c r="S26" s="63"/>
      <c r="V26" s="47"/>
      <c r="W26" s="175"/>
      <c r="X26" s="175"/>
      <c r="Y26" s="175"/>
      <c r="Z26" s="175"/>
      <c r="AA26" s="174"/>
      <c r="AB26" s="134"/>
      <c r="AC26" s="140"/>
      <c r="AD26" s="135"/>
      <c r="AE26" s="134"/>
      <c r="AF26" s="135"/>
      <c r="AG26" s="181"/>
      <c r="AH26" s="47"/>
      <c r="AI26" s="416"/>
      <c r="AJ26" s="417"/>
      <c r="AK26" s="47"/>
    </row>
    <row r="27" spans="2:37">
      <c r="B27" s="96"/>
      <c r="C27" s="12"/>
      <c r="D27" s="97"/>
      <c r="E27" s="98"/>
      <c r="F27" s="96"/>
      <c r="G27" s="96"/>
      <c r="J27" s="63"/>
      <c r="K27" s="112">
        <v>7</v>
      </c>
      <c r="L27" s="68">
        <f>Tests!E30</f>
        <v>22</v>
      </c>
      <c r="M27" s="68">
        <f>Tests!G30</f>
        <v>0</v>
      </c>
      <c r="N27" s="68">
        <f>Tests!I30</f>
        <v>23</v>
      </c>
      <c r="O27" s="120">
        <f t="shared" si="4"/>
        <v>15</v>
      </c>
      <c r="P27" s="110">
        <f t="shared" si="5"/>
        <v>12.75</v>
      </c>
      <c r="Q27" s="110">
        <f t="shared" si="6"/>
        <v>17.25</v>
      </c>
      <c r="R27" s="118">
        <f t="shared" si="0"/>
        <v>0</v>
      </c>
      <c r="S27" s="63"/>
      <c r="V27" s="47"/>
      <c r="W27" s="118">
        <v>0</v>
      </c>
      <c r="X27" s="118">
        <v>0</v>
      </c>
      <c r="Y27" s="118">
        <v>0</v>
      </c>
      <c r="Z27" s="118">
        <v>0</v>
      </c>
      <c r="AA27" s="120">
        <v>0</v>
      </c>
      <c r="AB27" s="134">
        <f>IF(OR((Master!E9=10),(Master!E9=15)),Master!E9-3,Master!E9-4)</f>
        <v>26</v>
      </c>
      <c r="AC27" s="179" t="str">
        <f t="shared" si="1"/>
        <v>FAIL</v>
      </c>
      <c r="AD27" s="135">
        <f>Master!E9+0.825*$O$78</f>
        <v>32.741192851137356</v>
      </c>
      <c r="AE27" s="134">
        <f>IF(Master!E9&lt;=15,Master!E9+3,Master!E9+4)</f>
        <v>34</v>
      </c>
      <c r="AF27" s="135">
        <f t="shared" si="2"/>
        <v>34</v>
      </c>
      <c r="AG27" s="182" t="str">
        <f t="shared" si="3"/>
        <v>FAIL</v>
      </c>
      <c r="AH27" s="47"/>
      <c r="AI27" s="524" t="str">
        <f>IF(AND(AC27="PASS",AG27="PASS"),"PASS","FAIL")</f>
        <v>FAIL</v>
      </c>
      <c r="AJ27" s="525"/>
      <c r="AK27" s="47"/>
    </row>
    <row r="28" spans="2:37">
      <c r="B28" s="96"/>
      <c r="C28" s="96"/>
      <c r="D28" s="97"/>
      <c r="E28" s="98"/>
      <c r="F28" s="96"/>
      <c r="G28" s="96"/>
      <c r="J28" s="63"/>
      <c r="K28" s="112"/>
      <c r="L28" s="68"/>
      <c r="M28" s="68"/>
      <c r="N28" s="68"/>
      <c r="O28" s="110"/>
      <c r="P28" s="110"/>
      <c r="Q28" s="110"/>
      <c r="R28" s="110"/>
      <c r="S28" s="63"/>
      <c r="V28" s="47"/>
      <c r="W28" s="175"/>
      <c r="X28" s="175"/>
      <c r="Y28" s="176"/>
      <c r="Z28" s="176"/>
      <c r="AA28" s="129"/>
      <c r="AB28" s="134"/>
      <c r="AC28" s="140"/>
      <c r="AD28" s="135"/>
      <c r="AE28" s="134"/>
      <c r="AF28" s="135"/>
      <c r="AG28" s="181"/>
      <c r="AH28" s="47"/>
      <c r="AI28" s="416"/>
      <c r="AJ28" s="417"/>
      <c r="AK28" s="47"/>
    </row>
    <row r="29" spans="2:37">
      <c r="C29" s="24"/>
      <c r="D29" s="25"/>
      <c r="E29" s="27"/>
      <c r="F29" s="24"/>
      <c r="J29" s="63"/>
      <c r="K29" s="112">
        <v>8</v>
      </c>
      <c r="L29" s="68">
        <f>Tests!E32</f>
        <v>19.5</v>
      </c>
      <c r="M29" s="68">
        <f>Tests!G32</f>
        <v>0</v>
      </c>
      <c r="N29" s="68">
        <f>Tests!I32</f>
        <v>21</v>
      </c>
      <c r="O29" s="120">
        <f t="shared" si="4"/>
        <v>13.5</v>
      </c>
      <c r="P29" s="110">
        <f t="shared" si="5"/>
        <v>11.475</v>
      </c>
      <c r="Q29" s="110">
        <f t="shared" si="6"/>
        <v>15.524999999999999</v>
      </c>
      <c r="R29" s="118">
        <f t="shared" si="0"/>
        <v>0</v>
      </c>
      <c r="S29" s="63"/>
      <c r="V29" s="47"/>
      <c r="W29" s="118">
        <v>0</v>
      </c>
      <c r="X29" s="118">
        <v>0</v>
      </c>
      <c r="Y29" s="177"/>
      <c r="Z29" s="178"/>
      <c r="AA29" s="120">
        <v>0</v>
      </c>
      <c r="AB29" s="134">
        <f>IF(OR((Master!E9=10),(Master!E9=15)),Master!E9-3,Master!E9-4)</f>
        <v>26</v>
      </c>
      <c r="AC29" s="179" t="str">
        <f t="shared" si="1"/>
        <v>FAIL</v>
      </c>
      <c r="AD29" s="135">
        <f>Master!E9+0.825*$O$78</f>
        <v>32.741192851137356</v>
      </c>
      <c r="AE29" s="134">
        <f>IF(Master!E9&lt;=15,Master!E9+3,Master!E9+4)</f>
        <v>34</v>
      </c>
      <c r="AF29" s="135">
        <f t="shared" si="2"/>
        <v>34</v>
      </c>
      <c r="AG29" s="182" t="str">
        <f t="shared" si="3"/>
        <v>FAIL</v>
      </c>
      <c r="AH29" s="47"/>
      <c r="AI29" s="524" t="str">
        <f>IF(AND(AC29="PASS",AG29="PASS"),"PASS","FAIL")</f>
        <v>FAIL</v>
      </c>
      <c r="AJ29" s="525"/>
      <c r="AK29" s="47"/>
    </row>
    <row r="30" spans="2:37">
      <c r="C30" s="24"/>
      <c r="D30" s="25"/>
      <c r="E30" s="27"/>
      <c r="F30" s="24"/>
      <c r="J30" s="63"/>
      <c r="K30" s="112"/>
      <c r="L30" s="68"/>
      <c r="M30" s="68"/>
      <c r="N30" s="68"/>
      <c r="O30" s="110"/>
      <c r="P30" s="110"/>
      <c r="Q30" s="110"/>
      <c r="R30" s="110"/>
      <c r="S30" s="63"/>
      <c r="V30" s="47"/>
      <c r="W30" s="130"/>
      <c r="X30" s="131"/>
      <c r="Y30" s="131"/>
      <c r="Z30" s="131"/>
      <c r="AA30" s="136"/>
      <c r="AB30" s="136"/>
      <c r="AC30" s="132"/>
      <c r="AD30" s="136"/>
      <c r="AE30" s="136"/>
      <c r="AF30" s="136"/>
      <c r="AG30" s="136"/>
      <c r="AH30" s="130"/>
      <c r="AI30" s="131"/>
      <c r="AJ30" s="132"/>
      <c r="AK30" s="47"/>
    </row>
    <row r="31" spans="2:37">
      <c r="B31" s="96"/>
      <c r="C31" s="96"/>
      <c r="D31" s="97"/>
      <c r="E31" s="98"/>
      <c r="F31" s="96"/>
      <c r="G31" s="96"/>
      <c r="J31" s="63"/>
      <c r="K31" s="112">
        <v>9</v>
      </c>
      <c r="L31" s="68">
        <f>Tests!E34</f>
        <v>21</v>
      </c>
      <c r="M31" s="68">
        <f>Tests!G34</f>
        <v>0</v>
      </c>
      <c r="N31" s="68">
        <f>Tests!I34</f>
        <v>25</v>
      </c>
      <c r="O31" s="120">
        <f t="shared" si="4"/>
        <v>15.333333333333334</v>
      </c>
      <c r="P31" s="110">
        <f t="shared" si="5"/>
        <v>13.033333333333333</v>
      </c>
      <c r="Q31" s="110">
        <f t="shared" si="6"/>
        <v>17.633333333333333</v>
      </c>
      <c r="R31" s="118">
        <f t="shared" si="0"/>
        <v>0</v>
      </c>
      <c r="S31" s="63"/>
      <c r="V31" s="47"/>
      <c r="W31" s="47"/>
      <c r="X31" s="47"/>
      <c r="Y31" s="47"/>
      <c r="Z31" s="47"/>
      <c r="AA31" s="47"/>
      <c r="AB31" s="47"/>
      <c r="AC31" s="47"/>
      <c r="AD31" s="47"/>
      <c r="AE31" s="47"/>
      <c r="AF31" s="47"/>
      <c r="AG31" s="47"/>
      <c r="AH31" s="47"/>
      <c r="AI31" s="47"/>
      <c r="AJ31" s="47"/>
      <c r="AK31" s="47"/>
    </row>
    <row r="32" spans="2:37" ht="15.75" thickBot="1">
      <c r="B32" s="96"/>
      <c r="C32" s="520" t="s">
        <v>64</v>
      </c>
      <c r="D32" s="520"/>
      <c r="E32" s="520"/>
      <c r="F32" s="520"/>
      <c r="G32" s="96"/>
      <c r="J32" s="63"/>
      <c r="K32" s="112"/>
      <c r="L32" s="68"/>
      <c r="M32" s="68"/>
      <c r="N32" s="68"/>
      <c r="O32" s="121"/>
      <c r="P32" s="110"/>
      <c r="Q32" s="110"/>
      <c r="R32" s="110"/>
      <c r="S32" s="63"/>
    </row>
    <row r="33" spans="2:34" ht="16.5" thickTop="1" thickBot="1">
      <c r="B33" s="96"/>
      <c r="C33" s="520"/>
      <c r="D33" s="520"/>
      <c r="E33" s="520"/>
      <c r="F33" s="520"/>
      <c r="G33" s="96"/>
      <c r="J33" s="63"/>
      <c r="K33" s="112">
        <v>10</v>
      </c>
      <c r="L33" s="68">
        <f>Tests!E36</f>
        <v>22</v>
      </c>
      <c r="M33" s="68">
        <f>Tests!G36</f>
        <v>22</v>
      </c>
      <c r="N33" s="68">
        <f>Tests!I36</f>
        <v>22</v>
      </c>
      <c r="O33" s="120">
        <f t="shared" si="4"/>
        <v>22</v>
      </c>
      <c r="P33" s="110">
        <f t="shared" si="5"/>
        <v>18.7</v>
      </c>
      <c r="Q33" s="110">
        <f t="shared" si="6"/>
        <v>25.299999999999997</v>
      </c>
      <c r="R33" s="118">
        <f t="shared" si="0"/>
        <v>22</v>
      </c>
      <c r="S33" s="63"/>
    </row>
    <row r="34" spans="2:34" ht="14.25" customHeight="1" thickTop="1">
      <c r="B34" s="96"/>
      <c r="C34" s="101"/>
      <c r="D34" s="101"/>
      <c r="E34" s="101"/>
      <c r="F34" s="101"/>
      <c r="G34" s="96"/>
      <c r="J34" s="63"/>
      <c r="K34" s="112"/>
      <c r="L34" s="68"/>
      <c r="M34" s="68"/>
      <c r="N34" s="68"/>
      <c r="O34" s="110"/>
      <c r="P34" s="110"/>
      <c r="Q34" s="110"/>
      <c r="R34" s="110"/>
      <c r="S34" s="63"/>
      <c r="W34" s="24"/>
    </row>
    <row r="35" spans="2:34">
      <c r="B35" s="96"/>
      <c r="C35" s="533" t="s">
        <v>23</v>
      </c>
      <c r="D35" s="533"/>
      <c r="E35" s="533"/>
      <c r="F35" s="168">
        <f>Master!E9</f>
        <v>30</v>
      </c>
      <c r="G35" s="96"/>
      <c r="J35" s="63"/>
      <c r="K35" s="112">
        <v>11</v>
      </c>
      <c r="L35" s="68">
        <f>Tests!E38</f>
        <v>25</v>
      </c>
      <c r="M35" s="68">
        <f>Tests!G38</f>
        <v>22</v>
      </c>
      <c r="N35" s="68">
        <f>Tests!I38</f>
        <v>22</v>
      </c>
      <c r="O35" s="120">
        <f t="shared" si="4"/>
        <v>23</v>
      </c>
      <c r="P35" s="110">
        <f t="shared" si="5"/>
        <v>19.55</v>
      </c>
      <c r="Q35" s="110">
        <f t="shared" si="6"/>
        <v>26.45</v>
      </c>
      <c r="R35" s="118">
        <f t="shared" si="0"/>
        <v>23</v>
      </c>
      <c r="S35" s="63"/>
      <c r="W35" s="24"/>
    </row>
    <row r="36" spans="2:34">
      <c r="B36" s="96"/>
      <c r="C36" s="95"/>
      <c r="D36" s="95"/>
      <c r="E36" s="95"/>
      <c r="F36" s="95"/>
      <c r="G36" s="96"/>
      <c r="H36" s="31"/>
      <c r="I36" s="31"/>
      <c r="J36" s="93"/>
      <c r="K36" s="112"/>
      <c r="L36" s="68"/>
      <c r="M36" s="68"/>
      <c r="N36" s="68"/>
      <c r="O36" s="110"/>
      <c r="P36" s="110"/>
      <c r="Q36" s="110"/>
      <c r="R36" s="110"/>
      <c r="S36" s="63"/>
      <c r="W36" s="24"/>
    </row>
    <row r="37" spans="2:34">
      <c r="B37" s="96"/>
      <c r="C37" s="533" t="s">
        <v>228</v>
      </c>
      <c r="D37" s="533"/>
      <c r="E37" s="533"/>
      <c r="F37" s="169" t="str">
        <f>IF(OR(F35=D15,F35=D16),"3.5",IF(OR(D18=F35,D19=F35),"4","5"))</f>
        <v>5</v>
      </c>
      <c r="G37" s="100"/>
      <c r="J37" s="63"/>
      <c r="K37" s="112">
        <v>12</v>
      </c>
      <c r="L37" s="68">
        <f>Tests!E40</f>
        <v>21</v>
      </c>
      <c r="M37" s="68">
        <f>Tests!G40</f>
        <v>20</v>
      </c>
      <c r="N37" s="68">
        <f>Tests!I40</f>
        <v>22</v>
      </c>
      <c r="O37" s="120">
        <f t="shared" si="4"/>
        <v>21</v>
      </c>
      <c r="P37" s="110">
        <f t="shared" si="5"/>
        <v>17.849999999999998</v>
      </c>
      <c r="Q37" s="110">
        <f t="shared" si="6"/>
        <v>24.15</v>
      </c>
      <c r="R37" s="118">
        <f t="shared" si="0"/>
        <v>21</v>
      </c>
      <c r="S37" s="63"/>
      <c r="W37" s="24"/>
    </row>
    <row r="38" spans="2:34">
      <c r="B38" s="96"/>
      <c r="C38" s="95"/>
      <c r="D38" s="95"/>
      <c r="E38" s="95"/>
      <c r="F38" s="95"/>
      <c r="G38" s="96"/>
      <c r="J38" s="63"/>
      <c r="K38" s="112"/>
      <c r="L38" s="68"/>
      <c r="M38" s="68"/>
      <c r="N38" s="68"/>
      <c r="O38" s="110"/>
      <c r="P38" s="110"/>
      <c r="Q38" s="110"/>
      <c r="R38" s="110"/>
      <c r="S38" s="63"/>
    </row>
    <row r="39" spans="2:34">
      <c r="B39" s="96"/>
      <c r="C39" s="533" t="s">
        <v>229</v>
      </c>
      <c r="D39" s="533"/>
      <c r="E39" s="533"/>
      <c r="F39" s="169" t="str">
        <f>IF(Master!E30="Good",'Standard Deviation'!F37,'Standard Deviation'!F37+1)</f>
        <v>5</v>
      </c>
      <c r="G39" s="96"/>
      <c r="J39" s="63"/>
      <c r="K39" s="112">
        <v>13</v>
      </c>
      <c r="L39" s="68">
        <f>Tests!E42</f>
        <v>23</v>
      </c>
      <c r="M39" s="68">
        <f>Tests!G42</f>
        <v>20</v>
      </c>
      <c r="N39" s="68">
        <f>Tests!I42</f>
        <v>22</v>
      </c>
      <c r="O39" s="120">
        <f t="shared" si="4"/>
        <v>21.666666666666668</v>
      </c>
      <c r="P39" s="110">
        <f t="shared" si="5"/>
        <v>18.416666666666668</v>
      </c>
      <c r="Q39" s="110">
        <f t="shared" si="6"/>
        <v>24.916666666666668</v>
      </c>
      <c r="R39" s="118">
        <f t="shared" si="0"/>
        <v>21.666666666666668</v>
      </c>
      <c r="S39" s="63"/>
    </row>
    <row r="40" spans="2:34">
      <c r="B40" s="96"/>
      <c r="C40" s="96"/>
      <c r="D40" s="97"/>
      <c r="E40" s="98"/>
      <c r="F40" s="96"/>
      <c r="G40" s="96"/>
      <c r="J40" s="63"/>
      <c r="K40" s="112"/>
      <c r="L40" s="68"/>
      <c r="M40" s="68"/>
      <c r="N40" s="68"/>
      <c r="O40" s="110"/>
      <c r="P40" s="110"/>
      <c r="Q40" s="110"/>
      <c r="R40" s="110"/>
      <c r="S40" s="63"/>
    </row>
    <row r="41" spans="2:34">
      <c r="J41" s="63"/>
      <c r="K41" s="112">
        <v>14</v>
      </c>
      <c r="L41" s="68">
        <f>Tests!E44</f>
        <v>20</v>
      </c>
      <c r="M41" s="68">
        <f>Tests!G44</f>
        <v>20</v>
      </c>
      <c r="N41" s="68">
        <f>Tests!I44</f>
        <v>23</v>
      </c>
      <c r="O41" s="120">
        <f t="shared" si="4"/>
        <v>21</v>
      </c>
      <c r="P41" s="110">
        <f t="shared" si="5"/>
        <v>17.849999999999998</v>
      </c>
      <c r="Q41" s="110">
        <f t="shared" si="6"/>
        <v>24.15</v>
      </c>
      <c r="R41" s="118">
        <f t="shared" si="0"/>
        <v>21</v>
      </c>
      <c r="S41" s="63"/>
    </row>
    <row r="42" spans="2:34">
      <c r="C42" s="24"/>
      <c r="D42" s="25"/>
      <c r="E42" s="27"/>
      <c r="F42" s="24"/>
      <c r="J42" s="63"/>
      <c r="K42" s="112"/>
      <c r="L42" s="68"/>
      <c r="M42" s="68"/>
      <c r="N42" s="68"/>
      <c r="O42" s="110"/>
      <c r="P42" s="110"/>
      <c r="Q42" s="110"/>
      <c r="R42" s="110"/>
      <c r="S42" s="63"/>
    </row>
    <row r="43" spans="2:34">
      <c r="B43" s="96"/>
      <c r="C43" s="96"/>
      <c r="D43" s="97"/>
      <c r="E43" s="98"/>
      <c r="F43" s="96"/>
      <c r="G43" s="96"/>
      <c r="J43" s="63"/>
      <c r="K43" s="112">
        <v>15</v>
      </c>
      <c r="L43" s="68">
        <f>Tests!E46</f>
        <v>20</v>
      </c>
      <c r="M43" s="68">
        <f>Tests!G46</f>
        <v>20</v>
      </c>
      <c r="N43" s="68">
        <f>Tests!I46</f>
        <v>21</v>
      </c>
      <c r="O43" s="120">
        <f t="shared" si="4"/>
        <v>20.333333333333332</v>
      </c>
      <c r="P43" s="110">
        <f t="shared" si="5"/>
        <v>17.283333333333331</v>
      </c>
      <c r="Q43" s="110">
        <f t="shared" si="6"/>
        <v>23.383333333333329</v>
      </c>
      <c r="R43" s="118">
        <f t="shared" si="0"/>
        <v>20.333333333333332</v>
      </c>
      <c r="S43" s="63"/>
    </row>
    <row r="44" spans="2:34" ht="15.75" thickBot="1">
      <c r="B44" s="96"/>
      <c r="C44" s="520" t="s">
        <v>67</v>
      </c>
      <c r="D44" s="520"/>
      <c r="E44" s="520"/>
      <c r="F44" s="532">
        <f>Master!G33</f>
        <v>6</v>
      </c>
      <c r="G44" s="96"/>
      <c r="J44" s="63"/>
      <c r="K44" s="112"/>
      <c r="L44" s="68"/>
      <c r="M44" s="68"/>
      <c r="N44" s="68"/>
      <c r="O44" s="110"/>
      <c r="P44" s="110"/>
      <c r="Q44" s="110"/>
      <c r="R44" s="110"/>
      <c r="S44" s="63"/>
    </row>
    <row r="45" spans="2:34" ht="16.5" thickTop="1" thickBot="1">
      <c r="B45" s="96"/>
      <c r="C45" s="520"/>
      <c r="D45" s="520"/>
      <c r="E45" s="520"/>
      <c r="F45" s="532"/>
      <c r="G45" s="96"/>
      <c r="J45" s="63"/>
      <c r="K45" s="112">
        <v>16</v>
      </c>
      <c r="L45" s="68">
        <f>Tests!E48</f>
        <v>19</v>
      </c>
      <c r="M45" s="68">
        <f>Tests!G48</f>
        <v>20</v>
      </c>
      <c r="N45" s="68">
        <f>Tests!I48</f>
        <v>23</v>
      </c>
      <c r="O45" s="120">
        <f t="shared" si="4"/>
        <v>20.666666666666668</v>
      </c>
      <c r="P45" s="110">
        <f t="shared" si="5"/>
        <v>17.566666666666666</v>
      </c>
      <c r="Q45" s="110">
        <f t="shared" si="6"/>
        <v>23.766666666666666</v>
      </c>
      <c r="R45" s="118">
        <f t="shared" si="0"/>
        <v>20.666666666666668</v>
      </c>
      <c r="S45" s="63"/>
    </row>
    <row r="46" spans="2:34" ht="15.75" thickTop="1">
      <c r="B46" s="96"/>
      <c r="C46" s="96"/>
      <c r="D46" s="97"/>
      <c r="E46" s="98"/>
      <c r="F46" s="96"/>
      <c r="G46" s="96"/>
      <c r="J46" s="63"/>
      <c r="K46" s="112"/>
      <c r="L46" s="68"/>
      <c r="M46" s="68"/>
      <c r="N46" s="68"/>
      <c r="O46" s="110"/>
      <c r="P46" s="110"/>
      <c r="Q46" s="110"/>
      <c r="R46" s="110"/>
      <c r="S46" s="63"/>
    </row>
    <row r="47" spans="2:34" s="24" customFormat="1">
      <c r="B47"/>
      <c r="C47"/>
      <c r="D47" s="2"/>
      <c r="E47" s="3"/>
      <c r="F47"/>
      <c r="G47"/>
      <c r="J47" s="63"/>
      <c r="K47" s="112">
        <v>17</v>
      </c>
      <c r="L47" s="68">
        <f>Tests!E50</f>
        <v>21</v>
      </c>
      <c r="M47" s="68">
        <f>Tests!G50</f>
        <v>20</v>
      </c>
      <c r="N47" s="68">
        <f>Tests!I50</f>
        <v>21</v>
      </c>
      <c r="O47" s="120">
        <f t="shared" si="4"/>
        <v>20.666666666666668</v>
      </c>
      <c r="P47" s="110">
        <f t="shared" si="5"/>
        <v>17.566666666666666</v>
      </c>
      <c r="Q47" s="110">
        <f t="shared" si="6"/>
        <v>23.766666666666666</v>
      </c>
      <c r="R47" s="118">
        <f t="shared" si="0"/>
        <v>20.666666666666668</v>
      </c>
      <c r="S47" s="63"/>
      <c r="W47" s="17"/>
      <c r="X47" s="17"/>
      <c r="Y47" s="17"/>
      <c r="Z47" s="17"/>
      <c r="AA47" s="17"/>
      <c r="AB47" s="17"/>
      <c r="AC47"/>
      <c r="AD47"/>
      <c r="AE47"/>
      <c r="AF47"/>
      <c r="AG47"/>
      <c r="AH47"/>
    </row>
    <row r="48" spans="2:34" s="24" customFormat="1">
      <c r="D48" s="25"/>
      <c r="E48" s="27"/>
      <c r="J48" s="63"/>
      <c r="K48" s="112"/>
      <c r="L48" s="68"/>
      <c r="M48" s="68"/>
      <c r="N48" s="68"/>
      <c r="O48" s="110"/>
      <c r="P48" s="110"/>
      <c r="Q48" s="110"/>
      <c r="R48" s="110"/>
      <c r="S48" s="63"/>
      <c r="W48" s="17"/>
      <c r="X48" s="17"/>
      <c r="Y48" s="17"/>
      <c r="Z48" s="17"/>
      <c r="AA48" s="17"/>
      <c r="AB48" s="17"/>
      <c r="AC48"/>
      <c r="AD48"/>
      <c r="AE48"/>
      <c r="AF48"/>
      <c r="AG48"/>
    </row>
    <row r="49" spans="1:34">
      <c r="B49" s="96"/>
      <c r="C49" s="96"/>
      <c r="D49" s="97"/>
      <c r="E49" s="98"/>
      <c r="F49" s="96"/>
      <c r="G49" s="96"/>
      <c r="J49" s="63"/>
      <c r="K49" s="112">
        <v>18</v>
      </c>
      <c r="L49" s="68">
        <f>Tests!E52</f>
        <v>22</v>
      </c>
      <c r="M49" s="68">
        <f>Tests!G52</f>
        <v>20</v>
      </c>
      <c r="N49" s="68">
        <f>Tests!I52</f>
        <v>23</v>
      </c>
      <c r="O49" s="120">
        <f t="shared" si="4"/>
        <v>21.666666666666668</v>
      </c>
      <c r="P49" s="110">
        <f t="shared" si="5"/>
        <v>18.416666666666668</v>
      </c>
      <c r="Q49" s="110">
        <f t="shared" si="6"/>
        <v>24.916666666666668</v>
      </c>
      <c r="R49" s="118">
        <f t="shared" si="0"/>
        <v>21.666666666666668</v>
      </c>
      <c r="S49" s="63"/>
      <c r="AH49" s="24"/>
    </row>
    <row r="50" spans="1:34" s="17" customFormat="1" ht="15.75" thickBot="1">
      <c r="A50" s="24"/>
      <c r="B50" s="96"/>
      <c r="C50" s="520" t="s">
        <v>281</v>
      </c>
      <c r="D50" s="520"/>
      <c r="E50" s="520"/>
      <c r="F50" s="520"/>
      <c r="G50" s="96"/>
      <c r="H50" s="24"/>
      <c r="I50" s="24"/>
      <c r="J50" s="63"/>
      <c r="K50" s="112"/>
      <c r="L50" s="68"/>
      <c r="M50" s="68"/>
      <c r="N50" s="68"/>
      <c r="O50" s="110"/>
      <c r="P50" s="110"/>
      <c r="Q50" s="110"/>
      <c r="R50" s="110"/>
      <c r="S50" s="63"/>
      <c r="U50" s="24"/>
      <c r="AC50"/>
      <c r="AD50"/>
      <c r="AE50"/>
      <c r="AF50"/>
      <c r="AG50"/>
      <c r="AH50"/>
    </row>
    <row r="51" spans="1:34" s="17" customFormat="1" ht="16.5" thickTop="1" thickBot="1">
      <c r="A51" s="24"/>
      <c r="B51" s="96"/>
      <c r="C51" s="520"/>
      <c r="D51" s="520"/>
      <c r="E51" s="520"/>
      <c r="F51" s="520"/>
      <c r="G51" s="96"/>
      <c r="H51" s="24"/>
      <c r="I51" s="24"/>
      <c r="J51" s="63"/>
      <c r="K51" s="112">
        <v>19</v>
      </c>
      <c r="L51" s="68">
        <f>Tests!E54</f>
        <v>20</v>
      </c>
      <c r="M51" s="68">
        <f>Tests!G54</f>
        <v>20</v>
      </c>
      <c r="N51" s="68">
        <f>Tests!I54</f>
        <v>21</v>
      </c>
      <c r="O51" s="120">
        <f t="shared" si="4"/>
        <v>20.333333333333332</v>
      </c>
      <c r="P51" s="110">
        <f t="shared" si="5"/>
        <v>17.283333333333331</v>
      </c>
      <c r="Q51" s="110">
        <f t="shared" si="6"/>
        <v>23.383333333333329</v>
      </c>
      <c r="R51" s="118">
        <f t="shared" si="0"/>
        <v>20.333333333333332</v>
      </c>
      <c r="S51" s="63"/>
      <c r="U51" s="24"/>
      <c r="AC51"/>
      <c r="AD51"/>
      <c r="AE51"/>
      <c r="AF51"/>
      <c r="AG51"/>
    </row>
    <row r="52" spans="1:34" s="17" customFormat="1" ht="15.75" thickTop="1">
      <c r="A52" s="24"/>
      <c r="B52" s="96"/>
      <c r="C52" s="12"/>
      <c r="D52" s="104"/>
      <c r="E52" s="105"/>
      <c r="F52" s="12"/>
      <c r="G52" s="96"/>
      <c r="H52" s="24"/>
      <c r="I52" s="24"/>
      <c r="J52" s="63"/>
      <c r="K52" s="112"/>
      <c r="L52" s="68"/>
      <c r="M52" s="68"/>
      <c r="N52" s="68"/>
      <c r="O52" s="110"/>
      <c r="P52" s="110"/>
      <c r="Q52" s="110"/>
      <c r="R52" s="110"/>
      <c r="S52" s="63"/>
      <c r="U52" s="24"/>
      <c r="AC52"/>
      <c r="AD52"/>
      <c r="AE52"/>
      <c r="AF52"/>
      <c r="AG52"/>
    </row>
    <row r="53" spans="1:34">
      <c r="B53" s="96"/>
      <c r="C53" s="102">
        <v>1</v>
      </c>
      <c r="D53" s="530" t="s">
        <v>282</v>
      </c>
      <c r="E53" s="530"/>
      <c r="F53" s="170">
        <v>1.3</v>
      </c>
      <c r="G53" s="96"/>
      <c r="J53" s="63"/>
      <c r="K53" s="112">
        <v>20</v>
      </c>
      <c r="L53" s="68">
        <f>Tests!E56</f>
        <v>19</v>
      </c>
      <c r="M53" s="68">
        <f>Tests!G56</f>
        <v>20</v>
      </c>
      <c r="N53" s="68">
        <f>Tests!I56</f>
        <v>22</v>
      </c>
      <c r="O53" s="120">
        <f t="shared" si="4"/>
        <v>20.333333333333332</v>
      </c>
      <c r="P53" s="110">
        <f t="shared" si="5"/>
        <v>17.283333333333331</v>
      </c>
      <c r="Q53" s="110">
        <f t="shared" si="6"/>
        <v>23.383333333333329</v>
      </c>
      <c r="R53" s="118">
        <f t="shared" si="0"/>
        <v>20.333333333333332</v>
      </c>
      <c r="S53" s="63"/>
      <c r="AH53" s="17"/>
    </row>
    <row r="54" spans="1:34" ht="15" customHeight="1">
      <c r="B54" s="96"/>
      <c r="C54" s="102"/>
      <c r="D54" s="103"/>
      <c r="E54" s="103"/>
      <c r="F54" s="95"/>
      <c r="G54" s="96"/>
      <c r="J54" s="63"/>
      <c r="K54" s="112"/>
      <c r="L54" s="68"/>
      <c r="M54" s="68"/>
      <c r="N54" s="68"/>
      <c r="O54" s="110"/>
      <c r="P54" s="110"/>
      <c r="Q54" s="110"/>
      <c r="R54" s="110"/>
      <c r="S54" s="63"/>
    </row>
    <row r="55" spans="1:34" ht="15" customHeight="1">
      <c r="B55" s="96"/>
      <c r="C55" s="102">
        <v>2</v>
      </c>
      <c r="D55" s="530" t="s">
        <v>283</v>
      </c>
      <c r="E55" s="530"/>
      <c r="F55" s="170">
        <v>2.8</v>
      </c>
      <c r="G55" s="96"/>
      <c r="J55" s="63"/>
      <c r="K55" s="112">
        <v>21</v>
      </c>
      <c r="L55" s="68">
        <f>Tests!E58</f>
        <v>22</v>
      </c>
      <c r="M55" s="68">
        <f>Tests!G58</f>
        <v>20</v>
      </c>
      <c r="N55" s="68">
        <f>Tests!I58</f>
        <v>22</v>
      </c>
      <c r="O55" s="120">
        <f t="shared" si="4"/>
        <v>21.333333333333332</v>
      </c>
      <c r="P55" s="110">
        <f t="shared" si="5"/>
        <v>18.133333333333333</v>
      </c>
      <c r="Q55" s="110">
        <f t="shared" si="6"/>
        <v>24.533333333333331</v>
      </c>
      <c r="R55" s="118">
        <f t="shared" si="0"/>
        <v>21.333333333333332</v>
      </c>
      <c r="S55" s="63"/>
    </row>
    <row r="56" spans="1:34" ht="15" customHeight="1">
      <c r="B56" s="96"/>
      <c r="C56" s="102"/>
      <c r="D56" s="103"/>
      <c r="E56" s="103"/>
      <c r="F56" s="95"/>
      <c r="G56" s="96"/>
      <c r="J56" s="63"/>
      <c r="K56" s="112"/>
      <c r="L56" s="68"/>
      <c r="M56" s="68"/>
      <c r="N56" s="68"/>
      <c r="O56" s="110"/>
      <c r="P56" s="110"/>
      <c r="Q56" s="110"/>
      <c r="R56" s="110"/>
      <c r="S56" s="63"/>
      <c r="W56" s="24"/>
      <c r="X56" s="24"/>
      <c r="Y56" s="24"/>
      <c r="Z56" s="24"/>
      <c r="AA56" s="24"/>
      <c r="AB56" s="24"/>
      <c r="AC56" s="24"/>
      <c r="AD56" s="24"/>
      <c r="AE56" s="24"/>
      <c r="AF56" s="24"/>
      <c r="AG56" s="24"/>
    </row>
    <row r="57" spans="1:34" ht="15" customHeight="1">
      <c r="B57" s="96"/>
      <c r="C57" s="102">
        <v>3</v>
      </c>
      <c r="D57" s="530" t="s">
        <v>284</v>
      </c>
      <c r="E57" s="530"/>
      <c r="F57" s="170">
        <v>3.5</v>
      </c>
      <c r="G57" s="96"/>
      <c r="J57" s="63"/>
      <c r="K57" s="112">
        <v>22</v>
      </c>
      <c r="L57" s="68">
        <f>Tests!E60</f>
        <v>17</v>
      </c>
      <c r="M57" s="68">
        <f>Tests!G60</f>
        <v>20</v>
      </c>
      <c r="N57" s="68">
        <f>Tests!I60</f>
        <v>23</v>
      </c>
      <c r="O57" s="120">
        <f t="shared" si="4"/>
        <v>20</v>
      </c>
      <c r="P57" s="110">
        <f t="shared" si="5"/>
        <v>17</v>
      </c>
      <c r="Q57" s="110">
        <f t="shared" si="6"/>
        <v>23</v>
      </c>
      <c r="R57" s="118">
        <f t="shared" si="0"/>
        <v>20</v>
      </c>
      <c r="S57" s="63"/>
      <c r="W57" s="24"/>
      <c r="X57" s="24"/>
      <c r="Y57" s="24"/>
      <c r="Z57" s="24"/>
      <c r="AA57" s="24"/>
      <c r="AB57" s="24"/>
      <c r="AC57" s="24"/>
      <c r="AD57" s="24"/>
      <c r="AE57" s="24"/>
      <c r="AF57" s="24"/>
      <c r="AG57" s="24"/>
    </row>
    <row r="58" spans="1:34">
      <c r="B58" s="96"/>
      <c r="C58" s="102"/>
      <c r="D58" s="103"/>
      <c r="E58" s="103"/>
      <c r="F58" s="95"/>
      <c r="G58" s="96"/>
      <c r="J58" s="63"/>
      <c r="K58" s="112"/>
      <c r="L58" s="68"/>
      <c r="M58" s="68"/>
      <c r="N58" s="68"/>
      <c r="O58" s="110"/>
      <c r="P58" s="110"/>
      <c r="Q58" s="110"/>
      <c r="R58" s="110"/>
      <c r="S58" s="63"/>
    </row>
    <row r="59" spans="1:34" s="17" customFormat="1">
      <c r="A59" s="24"/>
      <c r="B59" s="96"/>
      <c r="C59" s="102">
        <v>4</v>
      </c>
      <c r="D59" s="530" t="s">
        <v>285</v>
      </c>
      <c r="E59" s="530"/>
      <c r="F59" s="170">
        <v>4.2</v>
      </c>
      <c r="G59" s="96"/>
      <c r="H59" s="24"/>
      <c r="I59" s="24"/>
      <c r="J59" s="63"/>
      <c r="K59" s="112">
        <v>23</v>
      </c>
      <c r="L59" s="68">
        <f>Tests!E62</f>
        <v>20</v>
      </c>
      <c r="M59" s="68">
        <f>Tests!G62</f>
        <v>20</v>
      </c>
      <c r="N59" s="68">
        <f>Tests!I62</f>
        <v>21</v>
      </c>
      <c r="O59" s="120">
        <f t="shared" si="4"/>
        <v>20.333333333333332</v>
      </c>
      <c r="P59" s="110">
        <f t="shared" si="5"/>
        <v>17.283333333333331</v>
      </c>
      <c r="Q59" s="110">
        <f t="shared" si="6"/>
        <v>23.383333333333329</v>
      </c>
      <c r="R59" s="118">
        <f t="shared" si="0"/>
        <v>20.333333333333332</v>
      </c>
      <c r="S59" s="63"/>
      <c r="U59" s="24"/>
      <c r="AH59"/>
    </row>
    <row r="60" spans="1:34">
      <c r="B60" s="96"/>
      <c r="C60" s="102"/>
      <c r="D60" s="103"/>
      <c r="E60" s="103"/>
      <c r="F60" s="95"/>
      <c r="G60" s="96"/>
      <c r="J60" s="63"/>
      <c r="K60" s="112"/>
      <c r="L60" s="68"/>
      <c r="M60" s="68"/>
      <c r="N60" s="68"/>
      <c r="O60" s="110"/>
      <c r="P60" s="110"/>
      <c r="Q60" s="110"/>
      <c r="R60" s="110"/>
      <c r="S60" s="63"/>
      <c r="V60" s="22"/>
      <c r="AC60" s="17"/>
      <c r="AD60" s="17"/>
      <c r="AE60" s="17"/>
      <c r="AF60" s="17"/>
      <c r="AG60" s="17"/>
      <c r="AH60" s="17"/>
    </row>
    <row r="61" spans="1:34">
      <c r="B61" s="96"/>
      <c r="C61" s="102">
        <v>5</v>
      </c>
      <c r="D61" s="530" t="s">
        <v>286</v>
      </c>
      <c r="E61" s="530"/>
      <c r="F61" s="170">
        <v>5.7</v>
      </c>
      <c r="G61" s="96"/>
      <c r="J61" s="63"/>
      <c r="K61" s="112">
        <v>24</v>
      </c>
      <c r="L61" s="68">
        <f>Tests!E64</f>
        <v>21</v>
      </c>
      <c r="M61" s="68">
        <f>Tests!G64</f>
        <v>20</v>
      </c>
      <c r="N61" s="68">
        <f>Tests!I64</f>
        <v>22</v>
      </c>
      <c r="O61" s="120">
        <f t="shared" si="4"/>
        <v>21</v>
      </c>
      <c r="P61" s="110">
        <f t="shared" si="5"/>
        <v>17.849999999999998</v>
      </c>
      <c r="Q61" s="110">
        <f t="shared" si="6"/>
        <v>24.15</v>
      </c>
      <c r="R61" s="118">
        <f t="shared" si="0"/>
        <v>21</v>
      </c>
      <c r="S61" s="63"/>
      <c r="V61" s="22"/>
      <c r="AC61" s="17"/>
      <c r="AD61" s="17"/>
      <c r="AE61" s="17"/>
      <c r="AF61" s="17"/>
      <c r="AG61" s="17"/>
    </row>
    <row r="62" spans="1:34">
      <c r="B62" s="96"/>
      <c r="C62" s="102"/>
      <c r="D62" s="103"/>
      <c r="E62" s="103"/>
      <c r="F62" s="95"/>
      <c r="G62" s="96"/>
      <c r="J62" s="63"/>
      <c r="K62" s="112"/>
      <c r="L62" s="68"/>
      <c r="M62" s="68"/>
      <c r="N62" s="68"/>
      <c r="O62" s="110"/>
      <c r="P62" s="110"/>
      <c r="Q62" s="110"/>
      <c r="R62" s="110"/>
      <c r="S62" s="63"/>
      <c r="V62" s="22"/>
      <c r="AC62" s="22"/>
    </row>
    <row r="63" spans="1:34">
      <c r="B63" s="96"/>
      <c r="C63" s="102">
        <v>6</v>
      </c>
      <c r="D63" s="530" t="s">
        <v>288</v>
      </c>
      <c r="E63" s="530"/>
      <c r="F63" s="170">
        <v>6.5</v>
      </c>
      <c r="G63" s="96"/>
      <c r="J63" s="63"/>
      <c r="K63" s="112">
        <v>25</v>
      </c>
      <c r="L63" s="68">
        <f>Tests!E66</f>
        <v>23</v>
      </c>
      <c r="M63" s="68">
        <f>Tests!G66</f>
        <v>20</v>
      </c>
      <c r="N63" s="68">
        <f>Tests!I66</f>
        <v>21</v>
      </c>
      <c r="O63" s="120">
        <f t="shared" si="4"/>
        <v>21.333333333333332</v>
      </c>
      <c r="P63" s="110">
        <f t="shared" si="5"/>
        <v>18.133333333333333</v>
      </c>
      <c r="Q63" s="110">
        <f t="shared" si="6"/>
        <v>24.533333333333331</v>
      </c>
      <c r="R63" s="118">
        <f t="shared" si="0"/>
        <v>21.333333333333332</v>
      </c>
      <c r="S63" s="63"/>
      <c r="V63" s="22"/>
      <c r="AC63" s="22"/>
    </row>
    <row r="64" spans="1:34">
      <c r="B64" s="96"/>
      <c r="C64" s="102"/>
      <c r="D64" s="103"/>
      <c r="E64" s="103"/>
      <c r="F64" s="95"/>
      <c r="G64" s="96"/>
      <c r="J64" s="63"/>
      <c r="K64" s="112"/>
      <c r="L64" s="68"/>
      <c r="M64" s="68"/>
      <c r="N64" s="68"/>
      <c r="O64" s="110"/>
      <c r="P64" s="110"/>
      <c r="Q64" s="110"/>
      <c r="R64" s="110"/>
      <c r="S64" s="63"/>
      <c r="V64" s="22"/>
      <c r="AC64" s="22"/>
    </row>
    <row r="65" spans="2:33">
      <c r="B65" s="96"/>
      <c r="C65" s="102">
        <v>7</v>
      </c>
      <c r="D65" s="530" t="s">
        <v>227</v>
      </c>
      <c r="E65" s="530"/>
      <c r="F65" s="170">
        <v>7.5</v>
      </c>
      <c r="G65" s="96"/>
      <c r="J65" s="63"/>
      <c r="K65" s="112">
        <v>26</v>
      </c>
      <c r="L65" s="68">
        <f>Tests!E68</f>
        <v>21</v>
      </c>
      <c r="M65" s="68">
        <f>Tests!G68</f>
        <v>20</v>
      </c>
      <c r="N65" s="68">
        <f>Tests!I68</f>
        <v>22</v>
      </c>
      <c r="O65" s="120">
        <f t="shared" si="4"/>
        <v>21</v>
      </c>
      <c r="P65" s="110">
        <f t="shared" si="5"/>
        <v>17.849999999999998</v>
      </c>
      <c r="Q65" s="110">
        <f t="shared" si="6"/>
        <v>24.15</v>
      </c>
      <c r="R65" s="118">
        <f t="shared" si="0"/>
        <v>21</v>
      </c>
      <c r="S65" s="63"/>
      <c r="V65" s="22"/>
      <c r="AC65" s="22"/>
    </row>
    <row r="66" spans="2:33">
      <c r="B66" s="96"/>
      <c r="C66" s="102"/>
      <c r="D66" s="103"/>
      <c r="E66" s="103"/>
      <c r="F66" s="95"/>
      <c r="G66" s="96"/>
      <c r="J66" s="63"/>
      <c r="K66" s="112"/>
      <c r="L66" s="68"/>
      <c r="M66" s="68"/>
      <c r="N66" s="68"/>
      <c r="O66" s="110"/>
      <c r="P66" s="110"/>
      <c r="Q66" s="110"/>
      <c r="R66" s="110"/>
      <c r="S66" s="63"/>
      <c r="AC66" s="22"/>
    </row>
    <row r="67" spans="2:33">
      <c r="B67" s="96"/>
      <c r="C67" s="102">
        <v>8</v>
      </c>
      <c r="D67" s="531" t="s">
        <v>287</v>
      </c>
      <c r="E67" s="531"/>
      <c r="F67" s="170">
        <v>8</v>
      </c>
      <c r="G67" s="96"/>
      <c r="J67" s="63"/>
      <c r="K67" s="112">
        <v>27</v>
      </c>
      <c r="L67" s="68">
        <f>Tests!E70</f>
        <v>20</v>
      </c>
      <c r="M67" s="68">
        <f>Tests!G70</f>
        <v>20</v>
      </c>
      <c r="N67" s="68">
        <f>Tests!I70</f>
        <v>24</v>
      </c>
      <c r="O67" s="120">
        <f t="shared" si="4"/>
        <v>21.333333333333332</v>
      </c>
      <c r="P67" s="110">
        <f t="shared" si="5"/>
        <v>18.133333333333333</v>
      </c>
      <c r="Q67" s="110">
        <f t="shared" si="6"/>
        <v>24.533333333333331</v>
      </c>
      <c r="R67" s="118">
        <f t="shared" si="0"/>
        <v>21.333333333333332</v>
      </c>
      <c r="S67" s="63"/>
      <c r="V67" s="119"/>
      <c r="AC67" s="22"/>
    </row>
    <row r="68" spans="2:33">
      <c r="B68" s="96"/>
      <c r="C68" s="96"/>
      <c r="D68" s="99"/>
      <c r="E68" s="99"/>
      <c r="F68" s="99"/>
      <c r="G68" s="96"/>
      <c r="J68" s="63"/>
      <c r="K68" s="112"/>
      <c r="L68" s="68"/>
      <c r="M68" s="68"/>
      <c r="N68" s="68"/>
      <c r="O68" s="110"/>
      <c r="P68" s="110"/>
      <c r="Q68" s="110"/>
      <c r="R68" s="110"/>
      <c r="S68" s="63"/>
      <c r="V68" s="22"/>
      <c r="AC68" s="22"/>
      <c r="AD68" s="17"/>
      <c r="AE68" s="17"/>
      <c r="AF68" s="17"/>
      <c r="AG68" s="17"/>
    </row>
    <row r="69" spans="2:33">
      <c r="B69" s="96"/>
      <c r="C69" s="96"/>
      <c r="D69" s="99"/>
      <c r="E69" s="99"/>
      <c r="F69" s="99"/>
      <c r="G69" s="96"/>
      <c r="J69" s="63"/>
      <c r="K69" s="112">
        <v>28</v>
      </c>
      <c r="L69" s="68">
        <f>Tests!E72</f>
        <v>20</v>
      </c>
      <c r="M69" s="68">
        <f>Tests!G72</f>
        <v>0</v>
      </c>
      <c r="N69" s="68">
        <f>Tests!I72</f>
        <v>23</v>
      </c>
      <c r="O69" s="120">
        <f t="shared" si="4"/>
        <v>14.333333333333334</v>
      </c>
      <c r="P69" s="110">
        <f t="shared" si="5"/>
        <v>12.183333333333334</v>
      </c>
      <c r="Q69" s="110">
        <f t="shared" si="6"/>
        <v>16.483333333333334</v>
      </c>
      <c r="R69" s="118">
        <f t="shared" si="0"/>
        <v>0</v>
      </c>
      <c r="S69" s="63"/>
      <c r="W69" s="22"/>
      <c r="AC69" s="22"/>
    </row>
    <row r="70" spans="2:33">
      <c r="D70" s="20"/>
      <c r="E70" s="20"/>
      <c r="F70" s="20"/>
      <c r="J70" s="63"/>
      <c r="K70" s="112"/>
      <c r="L70" s="68"/>
      <c r="M70" s="68"/>
      <c r="N70" s="68"/>
      <c r="O70" s="110"/>
      <c r="P70" s="110"/>
      <c r="Q70" s="110"/>
      <c r="R70" s="110"/>
      <c r="S70" s="63"/>
      <c r="W70" s="22"/>
      <c r="AC70" s="22"/>
    </row>
    <row r="71" spans="2:33">
      <c r="D71" s="20"/>
      <c r="E71" s="20"/>
      <c r="F71" s="20"/>
      <c r="J71" s="63"/>
      <c r="K71" s="112">
        <v>29</v>
      </c>
      <c r="L71" s="68">
        <f>Tests!E74</f>
        <v>21</v>
      </c>
      <c r="M71" s="68">
        <f>Tests!G74</f>
        <v>0</v>
      </c>
      <c r="N71" s="68">
        <f>Tests!I74</f>
        <v>21</v>
      </c>
      <c r="O71" s="120">
        <f t="shared" si="4"/>
        <v>14</v>
      </c>
      <c r="P71" s="110">
        <f t="shared" si="5"/>
        <v>11.9</v>
      </c>
      <c r="Q71" s="110">
        <f t="shared" si="6"/>
        <v>16.099999999999998</v>
      </c>
      <c r="R71" s="118">
        <f t="shared" si="0"/>
        <v>0</v>
      </c>
      <c r="S71" s="63"/>
      <c r="W71" s="22"/>
      <c r="AC71" s="22"/>
    </row>
    <row r="72" spans="2:33">
      <c r="C72" s="17"/>
      <c r="D72" s="17"/>
      <c r="E72" s="17"/>
      <c r="F72" s="17"/>
      <c r="J72" s="63"/>
      <c r="K72" s="112"/>
      <c r="L72" s="68"/>
      <c r="M72" s="68"/>
      <c r="N72" s="68"/>
      <c r="O72" s="110"/>
      <c r="P72" s="110"/>
      <c r="Q72" s="110"/>
      <c r="R72" s="110"/>
      <c r="S72" s="63"/>
      <c r="W72" s="22"/>
      <c r="AC72" s="22"/>
    </row>
    <row r="73" spans="2:33">
      <c r="J73" s="63"/>
      <c r="K73" s="113">
        <v>30</v>
      </c>
      <c r="L73" s="114">
        <f>Tests!E76</f>
        <v>23</v>
      </c>
      <c r="M73" s="115">
        <f>Tests!G76</f>
        <v>0</v>
      </c>
      <c r="N73" s="115">
        <f>Tests!I76</f>
        <v>23</v>
      </c>
      <c r="O73" s="120">
        <f t="shared" si="4"/>
        <v>15.333333333333334</v>
      </c>
      <c r="P73" s="111">
        <f t="shared" si="5"/>
        <v>13.033333333333333</v>
      </c>
      <c r="Q73" s="111">
        <f t="shared" si="6"/>
        <v>17.633333333333333</v>
      </c>
      <c r="R73" s="118">
        <f t="shared" si="0"/>
        <v>0</v>
      </c>
      <c r="S73" s="63"/>
      <c r="W73" s="22"/>
      <c r="AC73" s="22"/>
    </row>
    <row r="74" spans="2:33">
      <c r="J74" s="63"/>
      <c r="K74" s="93"/>
      <c r="L74" s="93"/>
      <c r="M74" s="68"/>
      <c r="N74" s="63"/>
      <c r="O74" s="63"/>
      <c r="P74" s="93"/>
      <c r="Q74" s="116"/>
      <c r="R74" s="117"/>
      <c r="S74" s="63"/>
      <c r="W74" s="22"/>
      <c r="AC74" s="22"/>
    </row>
    <row r="75" spans="2:33">
      <c r="J75" s="63"/>
      <c r="K75" s="63"/>
      <c r="L75" s="93"/>
      <c r="M75" s="93"/>
      <c r="N75" s="63"/>
      <c r="O75" s="63"/>
      <c r="P75" s="93"/>
      <c r="Q75" s="122"/>
      <c r="R75" s="123"/>
      <c r="S75" s="63"/>
      <c r="AC75" s="22"/>
    </row>
    <row r="76" spans="2:33">
      <c r="J76" s="206"/>
      <c r="K76" s="206"/>
      <c r="L76" s="550" t="s">
        <v>388</v>
      </c>
      <c r="M76" s="551"/>
      <c r="N76" s="551"/>
      <c r="O76" s="557">
        <f>STDEV(O15:O73)</f>
        <v>3.3226580013786133</v>
      </c>
      <c r="P76" s="206"/>
      <c r="Q76" s="206"/>
      <c r="R76" s="206"/>
      <c r="S76" s="206"/>
      <c r="W76" s="22"/>
      <c r="AC76" s="22"/>
    </row>
    <row r="77" spans="2:33" ht="15.75" thickBot="1">
      <c r="J77" s="206"/>
      <c r="K77" s="206"/>
      <c r="L77" s="552"/>
      <c r="M77" s="553"/>
      <c r="N77" s="553"/>
      <c r="O77" s="558"/>
      <c r="P77" s="206"/>
      <c r="Q77" s="206"/>
      <c r="R77" s="206"/>
      <c r="S77" s="206"/>
      <c r="W77" s="22"/>
      <c r="AC77" s="22"/>
    </row>
    <row r="78" spans="2:33">
      <c r="J78" s="206"/>
      <c r="K78" s="206"/>
      <c r="L78" s="550" t="s">
        <v>389</v>
      </c>
      <c r="M78" s="551"/>
      <c r="N78" s="551"/>
      <c r="O78" s="554">
        <f>O76</f>
        <v>3.3226580013786133</v>
      </c>
      <c r="P78" s="206"/>
      <c r="Q78" s="206"/>
      <c r="R78" s="206"/>
      <c r="S78" s="206"/>
      <c r="AC78" s="22"/>
    </row>
    <row r="79" spans="2:33">
      <c r="J79" s="206"/>
      <c r="K79" s="206"/>
      <c r="L79" s="552"/>
      <c r="M79" s="553"/>
      <c r="N79" s="553"/>
      <c r="O79" s="555"/>
      <c r="P79" s="206"/>
      <c r="Q79" s="206"/>
      <c r="R79" s="206"/>
      <c r="S79" s="206"/>
      <c r="AC79" s="22"/>
    </row>
    <row r="80" spans="2:33">
      <c r="J80" s="206"/>
      <c r="K80" s="206"/>
      <c r="L80" s="206"/>
      <c r="M80" s="206"/>
      <c r="N80" s="206"/>
      <c r="O80" s="206"/>
      <c r="P80" s="206"/>
      <c r="Q80" s="206"/>
      <c r="R80" s="206"/>
      <c r="S80" s="206"/>
      <c r="AC80" s="22"/>
    </row>
    <row r="81" spans="11:29">
      <c r="K81" s="17"/>
      <c r="L81" s="17"/>
      <c r="M81" s="17"/>
      <c r="N81" s="17"/>
      <c r="O81" s="17"/>
      <c r="P81" s="17"/>
      <c r="Q81" s="17"/>
      <c r="R81" s="17"/>
      <c r="AC81" s="22"/>
    </row>
    <row r="82" spans="11:29">
      <c r="K82" s="17"/>
      <c r="L82" s="17"/>
      <c r="M82" s="17"/>
      <c r="N82" s="17"/>
      <c r="O82" s="17"/>
      <c r="P82" s="17"/>
      <c r="Q82" s="17"/>
      <c r="R82" s="17"/>
      <c r="AC82" s="22"/>
    </row>
    <row r="83" spans="11:29">
      <c r="AC83" s="22"/>
    </row>
    <row r="84" spans="11:29">
      <c r="AC84" s="22"/>
    </row>
    <row r="85" spans="11:29">
      <c r="AC85" s="22"/>
    </row>
    <row r="86" spans="11:29">
      <c r="AC86" s="22"/>
    </row>
    <row r="87" spans="11:29">
      <c r="AC87" s="22"/>
    </row>
    <row r="88" spans="11:29">
      <c r="AC88" s="22"/>
    </row>
    <row r="89" spans="11:29">
      <c r="K89" s="17"/>
      <c r="L89" s="17"/>
      <c r="M89" s="17"/>
      <c r="N89" s="17"/>
      <c r="O89" s="17"/>
      <c r="P89" s="17"/>
      <c r="Q89" s="17"/>
      <c r="R89" s="17"/>
      <c r="AC89" s="22"/>
    </row>
    <row r="90" spans="11:29">
      <c r="AC90" s="22"/>
    </row>
    <row r="91" spans="11:29">
      <c r="AC91" s="22"/>
    </row>
    <row r="92" spans="11:29">
      <c r="AC92" s="22"/>
    </row>
    <row r="93" spans="11:29">
      <c r="AC93" s="22"/>
    </row>
    <row r="94" spans="11:29">
      <c r="AC94" s="22"/>
    </row>
    <row r="95" spans="11:29">
      <c r="AC95" s="22"/>
    </row>
    <row r="96" spans="11:29">
      <c r="AC96" s="22"/>
    </row>
    <row r="97" spans="11:29">
      <c r="AC97" s="22"/>
    </row>
    <row r="98" spans="11:29">
      <c r="AC98" s="22"/>
    </row>
    <row r="99" spans="11:29">
      <c r="K99" s="6"/>
      <c r="L99" s="6"/>
      <c r="AC99" s="22"/>
    </row>
    <row r="100" spans="11:29">
      <c r="AC100" s="22"/>
    </row>
    <row r="101" spans="11:29">
      <c r="AC101" s="22"/>
    </row>
    <row r="102" spans="11:29">
      <c r="AC102" s="22"/>
    </row>
    <row r="103" spans="11:29">
      <c r="AC103" s="22"/>
    </row>
    <row r="104" spans="11:29">
      <c r="AC104" s="22"/>
    </row>
    <row r="105" spans="11:29">
      <c r="AC105" s="22"/>
    </row>
    <row r="106" spans="11:29">
      <c r="O106" s="21"/>
      <c r="AC106" s="22"/>
    </row>
    <row r="107" spans="11:29">
      <c r="O107" s="21"/>
      <c r="AC107" s="22"/>
    </row>
    <row r="108" spans="11:29">
      <c r="O108" s="21"/>
      <c r="AC108" s="22"/>
    </row>
    <row r="109" spans="11:29">
      <c r="O109" s="21"/>
      <c r="AC109" s="22"/>
    </row>
    <row r="110" spans="11:29">
      <c r="O110" s="21"/>
      <c r="AC110" s="22"/>
    </row>
    <row r="111" spans="11:29">
      <c r="O111" s="21"/>
      <c r="AC111" s="22"/>
    </row>
    <row r="112" spans="11:29">
      <c r="O112" s="21"/>
      <c r="AC112" s="22"/>
    </row>
    <row r="113" spans="29:29">
      <c r="AC113" s="22"/>
    </row>
    <row r="114" spans="29:29">
      <c r="AC114" s="22"/>
    </row>
    <row r="115" spans="29:29">
      <c r="AC115" s="22"/>
    </row>
    <row r="116" spans="29:29">
      <c r="AC116" s="22"/>
    </row>
    <row r="117" spans="29:29">
      <c r="AC117" s="22"/>
    </row>
    <row r="118" spans="29:29">
      <c r="AC118" s="22"/>
    </row>
    <row r="119" spans="29:29">
      <c r="AC119" s="22"/>
    </row>
    <row r="120" spans="29:29">
      <c r="AC120" s="22"/>
    </row>
    <row r="121" spans="29:29">
      <c r="AC121" s="22"/>
    </row>
    <row r="122" spans="29:29">
      <c r="AC122" s="22"/>
    </row>
    <row r="123" spans="29:29">
      <c r="AC123" s="22"/>
    </row>
    <row r="124" spans="29:29">
      <c r="AC124" s="22"/>
    </row>
    <row r="125" spans="29:29">
      <c r="AC125" s="22"/>
    </row>
    <row r="126" spans="29:29">
      <c r="AC126" s="22"/>
    </row>
    <row r="127" spans="29:29">
      <c r="AC127" s="22"/>
    </row>
    <row r="128" spans="29:29">
      <c r="AC128" s="22"/>
    </row>
    <row r="129" spans="29:29">
      <c r="AC129" s="22"/>
    </row>
    <row r="130" spans="29:29">
      <c r="AC130" s="22"/>
    </row>
    <row r="131" spans="29:29">
      <c r="AC131" s="22"/>
    </row>
    <row r="132" spans="29:29">
      <c r="AC132" s="22"/>
    </row>
  </sheetData>
  <sheetProtection password="C08E" sheet="1" objects="1" scenarios="1" formatCells="0"/>
  <dataConsolidate function="var"/>
  <mergeCells count="44">
    <mergeCell ref="L78:N79"/>
    <mergeCell ref="O78:O79"/>
    <mergeCell ref="L76:N77"/>
    <mergeCell ref="L3:N4"/>
    <mergeCell ref="L5:M6"/>
    <mergeCell ref="N5:N6"/>
    <mergeCell ref="O76:O77"/>
    <mergeCell ref="K8:R9"/>
    <mergeCell ref="L11:N11"/>
    <mergeCell ref="P2:T3"/>
    <mergeCell ref="P4:T4"/>
    <mergeCell ref="S5:T5"/>
    <mergeCell ref="P5:R5"/>
    <mergeCell ref="C32:F33"/>
    <mergeCell ref="C50:F51"/>
    <mergeCell ref="W8:AD9"/>
    <mergeCell ref="W11:Z13"/>
    <mergeCell ref="AB11:AC11"/>
    <mergeCell ref="AD11:AG11"/>
    <mergeCell ref="D53:E53"/>
    <mergeCell ref="B8:F9"/>
    <mergeCell ref="D67:E67"/>
    <mergeCell ref="D55:E55"/>
    <mergeCell ref="D57:E57"/>
    <mergeCell ref="D59:E59"/>
    <mergeCell ref="D61:E61"/>
    <mergeCell ref="D63:E63"/>
    <mergeCell ref="D65:E65"/>
    <mergeCell ref="C44:E45"/>
    <mergeCell ref="F44:F45"/>
    <mergeCell ref="C39:E39"/>
    <mergeCell ref="C37:E37"/>
    <mergeCell ref="F15:F16"/>
    <mergeCell ref="F18:F19"/>
    <mergeCell ref="C35:E35"/>
    <mergeCell ref="AI23:AJ23"/>
    <mergeCell ref="AI25:AJ25"/>
    <mergeCell ref="AI27:AJ27"/>
    <mergeCell ref="AI29:AJ29"/>
    <mergeCell ref="AI11:AJ13"/>
    <mergeCell ref="AI15:AJ15"/>
    <mergeCell ref="AI17:AJ17"/>
    <mergeCell ref="AI19:AJ19"/>
    <mergeCell ref="AI21:AJ21"/>
  </mergeCells>
  <conditionalFormatting sqref="R15 R17 R19 R21 R23 R25 R27 R29 R31 R33 R35 R37 R39 R41 R43 R45 R47 R49 R51 R53 R55 R57 R59 R61 R63 R65 R67 R69 R71 R73 W15:Z15 W17:Z17 W19:Z19 W21:Z21 W23:Z23 W25:Z25 W27:Z27 W29:X29">
    <cfRule type="cellIs" dxfId="6" priority="14" operator="lessThan">
      <formula>1</formula>
    </cfRule>
  </conditionalFormatting>
  <conditionalFormatting sqref="AC15 AC17 AC19 AC21 AC23 AC25 AC27 AC29 AG15 AG17 AG19 AG21 AG23 AG25 AG27 AG29">
    <cfRule type="containsText" dxfId="5" priority="5" operator="containsText" text="FAIL">
      <formula>NOT(ISERROR(SEARCH("FAIL",AC15)))</formula>
    </cfRule>
    <cfRule type="containsText" dxfId="4" priority="6" operator="containsText" text="PASS">
      <formula>NOT(ISERROR(SEARCH("PASS",AC15)))</formula>
    </cfRule>
  </conditionalFormatting>
  <conditionalFormatting sqref="AI15:AJ15">
    <cfRule type="containsText" dxfId="3" priority="2" operator="containsText" text="PASS">
      <formula>NOT(ISERROR(SEARCH("PASS",AI15)))</formula>
    </cfRule>
  </conditionalFormatting>
  <conditionalFormatting sqref="AI15:AJ15 AI17:AJ17 AI19:AJ19 AI21:AJ21 AI23:AJ23 AI25:AJ25 AI27:AJ27 AI29:AJ29">
    <cfRule type="containsText" dxfId="2" priority="1" operator="containsText" text="FAIL">
      <formula>NOT(ISERROR(SEARCH("FAIL",AI15)))</formula>
    </cfRule>
  </conditionalFormatting>
  <pageMargins left="0.7" right="0.7" top="0.75" bottom="0.75" header="0.3" footer="0.3"/>
  <pageSetup orientation="portrait" r:id="rId1"/>
  <legacyDrawing r:id="rId2"/>
  <controls>
    <control shapeId="1025" r:id="rId3" name="Check"/>
  </controls>
</worksheet>
</file>

<file path=xl/worksheets/sheet5.xml><?xml version="1.0" encoding="utf-8"?>
<worksheet xmlns="http://schemas.openxmlformats.org/spreadsheetml/2006/main" xmlns:r="http://schemas.openxmlformats.org/officeDocument/2006/relationships">
  <sheetPr codeName="Sheet17"/>
  <dimension ref="B2:V53"/>
  <sheetViews>
    <sheetView topLeftCell="A10" workbookViewId="0">
      <selection activeCell="E7" sqref="E7:F7"/>
    </sheetView>
  </sheetViews>
  <sheetFormatPr defaultRowHeight="15"/>
  <cols>
    <col min="1" max="1" width="9.140625" style="24"/>
    <col min="2" max="2" width="7.42578125" style="24" customWidth="1"/>
    <col min="3" max="3" width="17.7109375" style="24" customWidth="1"/>
    <col min="4" max="4" width="18.42578125" style="24" customWidth="1"/>
    <col min="5" max="5" width="13.5703125" style="24" customWidth="1"/>
    <col min="6" max="6" width="9.140625" style="24"/>
    <col min="7" max="7" width="7.28515625" style="24" customWidth="1"/>
    <col min="8" max="8" width="17.42578125" style="24" customWidth="1"/>
    <col min="9" max="9" width="5" style="24" customWidth="1"/>
    <col min="10" max="10" width="12" style="24" customWidth="1"/>
    <col min="11" max="11" width="16.85546875" style="24" customWidth="1"/>
    <col min="12" max="12" width="15.28515625" style="24" customWidth="1"/>
    <col min="13" max="13" width="15.7109375" style="24" customWidth="1"/>
    <col min="14" max="14" width="16" style="24" customWidth="1"/>
    <col min="15" max="15" width="12.140625" style="24" customWidth="1"/>
    <col min="16" max="16" width="13.7109375" style="24" customWidth="1"/>
    <col min="17" max="17" width="5.42578125" style="24" customWidth="1"/>
    <col min="18" max="16384" width="9.140625" style="24"/>
  </cols>
  <sheetData>
    <row r="2" spans="2:22" ht="15" customHeight="1">
      <c r="B2" s="496" t="s">
        <v>270</v>
      </c>
      <c r="C2" s="574"/>
      <c r="D2" s="574"/>
      <c r="E2" s="574"/>
      <c r="F2" s="574"/>
      <c r="G2" s="575"/>
      <c r="N2" s="359"/>
      <c r="P2" s="579" t="s">
        <v>27</v>
      </c>
      <c r="Q2" s="580"/>
      <c r="R2" s="581">
        <f>IF(E51&lt;=E47,E51,E47)</f>
        <v>0.5</v>
      </c>
      <c r="S2" s="582"/>
    </row>
    <row r="3" spans="2:22" ht="15" customHeight="1">
      <c r="B3" s="576"/>
      <c r="C3" s="577"/>
      <c r="D3" s="577"/>
      <c r="E3" s="577"/>
      <c r="F3" s="577"/>
      <c r="G3" s="578"/>
      <c r="J3" s="48"/>
      <c r="K3" s="48"/>
      <c r="L3" s="359"/>
      <c r="M3" s="359"/>
      <c r="N3" s="359"/>
      <c r="P3" s="580"/>
      <c r="Q3" s="580"/>
      <c r="R3" s="581"/>
      <c r="S3" s="582"/>
    </row>
    <row r="4" spans="2:22">
      <c r="B4" s="521" t="s">
        <v>31</v>
      </c>
      <c r="C4" s="522"/>
      <c r="D4" s="522"/>
      <c r="E4" s="522"/>
      <c r="F4" s="522"/>
      <c r="G4" s="523"/>
    </row>
    <row r="5" spans="2:22">
      <c r="I5" s="80"/>
      <c r="J5" s="80"/>
      <c r="K5" s="80"/>
      <c r="L5" s="80"/>
      <c r="M5" s="80"/>
      <c r="N5" s="80"/>
      <c r="O5" s="80"/>
      <c r="P5" s="80"/>
      <c r="Q5" s="80"/>
      <c r="V5" s="26"/>
    </row>
    <row r="6" spans="2:22" ht="15" customHeight="1">
      <c r="B6" s="96"/>
      <c r="C6" s="96"/>
      <c r="D6" s="96"/>
      <c r="E6" s="96"/>
      <c r="F6" s="96"/>
      <c r="G6" s="96"/>
      <c r="I6" s="80"/>
      <c r="J6" s="80"/>
      <c r="K6" s="80"/>
      <c r="L6" s="80"/>
      <c r="M6" s="80"/>
      <c r="N6" s="365"/>
      <c r="O6" s="365"/>
      <c r="P6" s="365"/>
      <c r="Q6" s="80"/>
      <c r="U6" s="26"/>
      <c r="V6" s="26"/>
    </row>
    <row r="7" spans="2:22" ht="15" customHeight="1" thickBot="1">
      <c r="B7" s="96"/>
      <c r="C7" s="583" t="s">
        <v>246</v>
      </c>
      <c r="D7" s="584"/>
      <c r="E7" s="532" t="str">
        <f>Master!E36</f>
        <v>IS Method</v>
      </c>
      <c r="F7" s="532"/>
      <c r="G7" s="96"/>
      <c r="I7" s="467" t="s">
        <v>415</v>
      </c>
      <c r="J7" s="467"/>
      <c r="K7" s="467"/>
      <c r="L7" s="467"/>
      <c r="M7" s="467"/>
      <c r="N7" s="365"/>
      <c r="O7" s="365"/>
      <c r="P7" s="365"/>
      <c r="Q7" s="80"/>
    </row>
    <row r="8" spans="2:22" ht="15" customHeight="1" thickTop="1" thickBot="1">
      <c r="B8" s="96"/>
      <c r="C8" s="96"/>
      <c r="D8" s="96"/>
      <c r="E8" s="96"/>
      <c r="F8" s="96"/>
      <c r="G8" s="96"/>
      <c r="I8" s="467"/>
      <c r="J8" s="467"/>
      <c r="K8" s="467"/>
      <c r="L8" s="467"/>
      <c r="M8" s="467"/>
      <c r="N8" s="363"/>
      <c r="O8" s="363"/>
      <c r="P8" s="363"/>
      <c r="Q8" s="80"/>
    </row>
    <row r="9" spans="2:22" ht="15" customHeight="1" thickTop="1" thickBot="1">
      <c r="B9" s="96"/>
      <c r="C9" s="467" t="s">
        <v>422</v>
      </c>
      <c r="D9" s="467"/>
      <c r="E9" s="467"/>
      <c r="F9" s="467"/>
      <c r="G9" s="96"/>
      <c r="I9" s="80"/>
      <c r="J9" s="362"/>
      <c r="K9" s="362"/>
      <c r="L9" s="362"/>
      <c r="M9" s="362"/>
      <c r="N9" s="363"/>
      <c r="O9" s="363"/>
      <c r="P9" s="363"/>
      <c r="Q9" s="80"/>
    </row>
    <row r="10" spans="2:22" ht="16.5" thickTop="1" thickBot="1">
      <c r="B10" s="235"/>
      <c r="C10" s="467"/>
      <c r="D10" s="467"/>
      <c r="E10" s="467"/>
      <c r="F10" s="467"/>
      <c r="G10" s="96"/>
      <c r="I10" s="80"/>
      <c r="J10" s="317" t="s">
        <v>416</v>
      </c>
      <c r="K10" s="587" t="s">
        <v>170</v>
      </c>
      <c r="L10" s="588"/>
      <c r="M10" s="589"/>
      <c r="N10" s="587" t="s">
        <v>169</v>
      </c>
      <c r="O10" s="588"/>
      <c r="P10" s="589"/>
      <c r="Q10" s="80"/>
      <c r="V10" s="26"/>
    </row>
    <row r="11" spans="2:22" ht="15.75" thickTop="1">
      <c r="B11" s="96"/>
      <c r="C11" s="96"/>
      <c r="D11" s="96"/>
      <c r="E11" s="96"/>
      <c r="F11" s="96"/>
      <c r="G11" s="96"/>
      <c r="I11" s="80"/>
      <c r="J11" s="318" t="s">
        <v>417</v>
      </c>
      <c r="K11" s="590"/>
      <c r="L11" s="591"/>
      <c r="M11" s="592"/>
      <c r="N11" s="590"/>
      <c r="O11" s="591"/>
      <c r="P11" s="592"/>
      <c r="Q11" s="80"/>
    </row>
    <row r="12" spans="2:22">
      <c r="B12" s="96"/>
      <c r="C12" s="96"/>
      <c r="D12" s="96"/>
      <c r="E12" s="96"/>
      <c r="F12" s="96"/>
      <c r="G12" s="96"/>
      <c r="I12" s="80"/>
      <c r="J12" s="321"/>
      <c r="K12" s="322" t="s">
        <v>167</v>
      </c>
      <c r="L12" s="322" t="s">
        <v>168</v>
      </c>
      <c r="M12" s="322" t="s">
        <v>167</v>
      </c>
      <c r="N12" s="322" t="s">
        <v>167</v>
      </c>
      <c r="O12" s="322" t="s">
        <v>168</v>
      </c>
      <c r="P12" s="322" t="s">
        <v>167</v>
      </c>
      <c r="Q12" s="80"/>
    </row>
    <row r="13" spans="2:22">
      <c r="B13" s="96"/>
      <c r="C13" s="319" t="s">
        <v>13</v>
      </c>
      <c r="D13" s="320">
        <f>Master!E9</f>
        <v>30</v>
      </c>
      <c r="E13" s="593">
        <f>(D13-INDEX(E22:E29,C14))/(INDEX(E22:E29,C14+1)-INDEX(E22:E29,C14))*(INDEX(C22:C29,C14+1)-INDEX(C22:C29,C14))+INDEX(C22:C29,C14)</f>
        <v>0.46111111111111114</v>
      </c>
      <c r="F13" s="594"/>
      <c r="G13" s="96"/>
      <c r="I13" s="80"/>
      <c r="J13" s="324"/>
      <c r="K13" s="325" t="s">
        <v>166</v>
      </c>
      <c r="L13" s="325" t="s">
        <v>165</v>
      </c>
      <c r="M13" s="325" t="s">
        <v>164</v>
      </c>
      <c r="N13" s="325" t="s">
        <v>166</v>
      </c>
      <c r="O13" s="325" t="s">
        <v>165</v>
      </c>
      <c r="P13" s="325" t="s">
        <v>164</v>
      </c>
      <c r="Q13" s="80"/>
    </row>
    <row r="14" spans="2:22">
      <c r="B14" s="96"/>
      <c r="C14" s="595">
        <f>MATCH(D13,E22:E29,-1)</f>
        <v>4</v>
      </c>
      <c r="D14" s="596"/>
      <c r="E14" s="597">
        <f>ROUND(E13,2)</f>
        <v>0.46</v>
      </c>
      <c r="F14" s="597"/>
      <c r="G14" s="96"/>
      <c r="I14" s="80"/>
      <c r="J14" s="326"/>
      <c r="K14" s="327" t="s">
        <v>163</v>
      </c>
      <c r="L14" s="327"/>
      <c r="M14" s="327" t="s">
        <v>56</v>
      </c>
      <c r="N14" s="327" t="s">
        <v>163</v>
      </c>
      <c r="O14" s="327"/>
      <c r="P14" s="327" t="s">
        <v>56</v>
      </c>
      <c r="Q14" s="80"/>
    </row>
    <row r="15" spans="2:22">
      <c r="B15" s="96"/>
      <c r="C15" s="12"/>
      <c r="D15" s="12"/>
      <c r="E15" s="12"/>
      <c r="F15" s="12"/>
      <c r="G15" s="96"/>
      <c r="I15" s="80"/>
      <c r="J15" s="324"/>
      <c r="K15" s="324"/>
      <c r="L15" s="324"/>
      <c r="M15" s="324"/>
      <c r="N15" s="324"/>
      <c r="O15" s="324"/>
      <c r="P15" s="324"/>
      <c r="Q15" s="80"/>
    </row>
    <row r="16" spans="2:22">
      <c r="B16" s="96"/>
      <c r="C16" s="96"/>
      <c r="D16" s="96"/>
      <c r="E16" s="96"/>
      <c r="F16" s="96"/>
      <c r="G16" s="96"/>
      <c r="I16" s="80"/>
      <c r="J16" s="325" t="s">
        <v>41</v>
      </c>
      <c r="K16" s="328">
        <v>220</v>
      </c>
      <c r="L16" s="325">
        <v>0.6</v>
      </c>
      <c r="M16" s="325" t="s">
        <v>42</v>
      </c>
      <c r="N16" s="325">
        <v>300</v>
      </c>
      <c r="O16" s="325">
        <v>0.55000000000000004</v>
      </c>
      <c r="P16" s="325" t="s">
        <v>43</v>
      </c>
      <c r="Q16" s="80"/>
    </row>
    <row r="17" spans="2:17" ht="15.75" thickBot="1">
      <c r="B17" s="96"/>
      <c r="C17" s="467" t="s">
        <v>66</v>
      </c>
      <c r="D17" s="467"/>
      <c r="E17" s="467"/>
      <c r="F17" s="467"/>
      <c r="G17" s="96"/>
      <c r="I17" s="80"/>
      <c r="J17" s="324"/>
      <c r="K17" s="324"/>
      <c r="L17" s="324"/>
      <c r="M17" s="324"/>
      <c r="N17" s="324"/>
      <c r="O17" s="324"/>
      <c r="P17" s="324"/>
      <c r="Q17" s="80"/>
    </row>
    <row r="18" spans="2:17" ht="16.5" thickTop="1" thickBot="1">
      <c r="B18" s="96"/>
      <c r="C18" s="467"/>
      <c r="D18" s="467"/>
      <c r="E18" s="467"/>
      <c r="F18" s="467"/>
      <c r="G18" s="96"/>
      <c r="I18" s="80"/>
      <c r="J18" s="325" t="s">
        <v>44</v>
      </c>
      <c r="K18" s="328">
        <v>240</v>
      </c>
      <c r="L18" s="325">
        <v>0.6</v>
      </c>
      <c r="M18" s="325" t="s">
        <v>45</v>
      </c>
      <c r="N18" s="325">
        <v>300</v>
      </c>
      <c r="O18" s="325">
        <v>0.5</v>
      </c>
      <c r="P18" s="325" t="s">
        <v>46</v>
      </c>
      <c r="Q18" s="80"/>
    </row>
    <row r="19" spans="2:17" ht="15.75" thickTop="1">
      <c r="B19" s="96"/>
      <c r="C19" s="96"/>
      <c r="D19" s="96"/>
      <c r="E19" s="96"/>
      <c r="F19" s="96"/>
      <c r="G19" s="96"/>
      <c r="I19" s="80"/>
      <c r="J19" s="324"/>
      <c r="K19" s="324"/>
      <c r="L19" s="324"/>
      <c r="M19" s="324"/>
      <c r="N19" s="324"/>
      <c r="O19" s="324"/>
      <c r="P19" s="324"/>
      <c r="Q19" s="80"/>
    </row>
    <row r="20" spans="2:17">
      <c r="B20" s="96"/>
      <c r="C20" s="598" t="s">
        <v>18</v>
      </c>
      <c r="D20" s="599"/>
      <c r="E20" s="598" t="s">
        <v>19</v>
      </c>
      <c r="F20" s="599"/>
      <c r="G20" s="96"/>
      <c r="I20" s="80"/>
      <c r="J20" s="325" t="s">
        <v>47</v>
      </c>
      <c r="K20" s="328">
        <v>250</v>
      </c>
      <c r="L20" s="325">
        <v>0.5</v>
      </c>
      <c r="M20" s="325" t="s">
        <v>43</v>
      </c>
      <c r="N20" s="325">
        <v>320</v>
      </c>
      <c r="O20" s="325">
        <v>0.45</v>
      </c>
      <c r="P20" s="325" t="s">
        <v>48</v>
      </c>
      <c r="Q20" s="80"/>
    </row>
    <row r="21" spans="2:17">
      <c r="B21" s="96"/>
      <c r="C21" s="600"/>
      <c r="D21" s="601"/>
      <c r="E21" s="600"/>
      <c r="F21" s="601"/>
      <c r="G21" s="96"/>
      <c r="I21" s="80"/>
      <c r="J21" s="324"/>
      <c r="K21" s="324"/>
      <c r="L21" s="324"/>
      <c r="M21" s="324"/>
      <c r="N21" s="324"/>
      <c r="O21" s="324"/>
      <c r="P21" s="324"/>
      <c r="Q21" s="80"/>
    </row>
    <row r="22" spans="2:17">
      <c r="B22" s="96"/>
      <c r="C22" s="585">
        <v>0.3</v>
      </c>
      <c r="D22" s="586"/>
      <c r="E22" s="585">
        <v>51</v>
      </c>
      <c r="F22" s="586"/>
      <c r="G22" s="96"/>
      <c r="I22" s="80"/>
      <c r="J22" s="325" t="s">
        <v>177</v>
      </c>
      <c r="K22" s="328">
        <v>260</v>
      </c>
      <c r="L22" s="325">
        <v>0.45</v>
      </c>
      <c r="M22" s="325" t="s">
        <v>43</v>
      </c>
      <c r="N22" s="325">
        <v>340</v>
      </c>
      <c r="O22" s="325">
        <v>0.45</v>
      </c>
      <c r="P22" s="325" t="s">
        <v>49</v>
      </c>
      <c r="Q22" s="80"/>
    </row>
    <row r="23" spans="2:17">
      <c r="B23" s="96"/>
      <c r="C23" s="585">
        <v>0.35</v>
      </c>
      <c r="D23" s="586"/>
      <c r="E23" s="585">
        <v>43.5</v>
      </c>
      <c r="F23" s="586"/>
      <c r="G23" s="96"/>
      <c r="I23" s="80"/>
      <c r="J23" s="324"/>
      <c r="K23" s="324"/>
      <c r="L23" s="324"/>
      <c r="M23" s="324"/>
      <c r="N23" s="324"/>
      <c r="O23" s="324"/>
      <c r="P23" s="324"/>
      <c r="Q23" s="80"/>
    </row>
    <row r="24" spans="2:17">
      <c r="B24" s="96"/>
      <c r="C24" s="585">
        <v>0.4</v>
      </c>
      <c r="D24" s="586"/>
      <c r="E24" s="585">
        <v>36.5</v>
      </c>
      <c r="F24" s="586"/>
      <c r="G24" s="96"/>
      <c r="I24" s="80"/>
      <c r="J24" s="327" t="s">
        <v>50</v>
      </c>
      <c r="K24" s="329">
        <v>280</v>
      </c>
      <c r="L24" s="327">
        <v>0.4</v>
      </c>
      <c r="M24" s="327" t="s">
        <v>46</v>
      </c>
      <c r="N24" s="327">
        <v>360</v>
      </c>
      <c r="O24" s="327">
        <v>0.4</v>
      </c>
      <c r="P24" s="327" t="s">
        <v>51</v>
      </c>
      <c r="Q24" s="80"/>
    </row>
    <row r="25" spans="2:17">
      <c r="B25" s="96"/>
      <c r="C25" s="585">
        <v>0.45</v>
      </c>
      <c r="D25" s="586"/>
      <c r="E25" s="585">
        <v>31</v>
      </c>
      <c r="F25" s="586"/>
      <c r="G25" s="96"/>
      <c r="I25" s="80"/>
      <c r="J25" s="80"/>
      <c r="K25" s="80"/>
      <c r="L25" s="80"/>
      <c r="M25" s="80"/>
      <c r="N25" s="80"/>
      <c r="O25" s="80"/>
      <c r="P25" s="80"/>
      <c r="Q25" s="80"/>
    </row>
    <row r="26" spans="2:17">
      <c r="B26" s="96"/>
      <c r="C26" s="585">
        <v>0.5</v>
      </c>
      <c r="D26" s="586"/>
      <c r="E26" s="585">
        <v>26.5</v>
      </c>
      <c r="F26" s="586"/>
      <c r="G26" s="96"/>
      <c r="J26" s="19"/>
      <c r="K26" s="19"/>
      <c r="L26" s="19"/>
      <c r="M26" s="19"/>
      <c r="N26" s="19"/>
      <c r="O26" s="19"/>
      <c r="P26" s="19"/>
    </row>
    <row r="27" spans="2:17">
      <c r="B27" s="96"/>
      <c r="C27" s="585">
        <v>0.55000000000000004</v>
      </c>
      <c r="D27" s="586"/>
      <c r="E27" s="585">
        <v>22.5</v>
      </c>
      <c r="F27" s="586"/>
      <c r="G27" s="96"/>
    </row>
    <row r="28" spans="2:17">
      <c r="B28" s="96"/>
      <c r="C28" s="585">
        <v>0.6</v>
      </c>
      <c r="D28" s="586"/>
      <c r="E28" s="585">
        <v>19.5</v>
      </c>
      <c r="F28" s="586"/>
      <c r="G28" s="96"/>
    </row>
    <row r="29" spans="2:17">
      <c r="B29" s="96"/>
      <c r="C29" s="602">
        <v>0.67500000000000004</v>
      </c>
      <c r="D29" s="603"/>
      <c r="E29" s="602">
        <v>18</v>
      </c>
      <c r="F29" s="603"/>
      <c r="G29" s="96"/>
    </row>
    <row r="30" spans="2:17">
      <c r="B30" s="96"/>
      <c r="C30" s="12"/>
      <c r="D30" s="12"/>
      <c r="E30" s="12"/>
      <c r="F30" s="12"/>
      <c r="G30" s="96"/>
    </row>
    <row r="31" spans="2:17" ht="15" customHeight="1">
      <c r="B31" s="96"/>
      <c r="C31" s="12"/>
      <c r="D31" s="12"/>
      <c r="E31" s="12"/>
      <c r="F31" s="12"/>
      <c r="G31" s="96"/>
    </row>
    <row r="32" spans="2:17" ht="15.75" customHeight="1">
      <c r="B32" s="96"/>
      <c r="C32" s="96"/>
      <c r="D32" s="96"/>
      <c r="E32" s="96"/>
      <c r="F32" s="96"/>
      <c r="G32" s="96"/>
    </row>
    <row r="33" spans="2:14" ht="15.75" thickBot="1">
      <c r="B33" s="96"/>
      <c r="C33" s="467" t="s">
        <v>67</v>
      </c>
      <c r="D33" s="467"/>
      <c r="E33" s="604">
        <f>Master!G36</f>
        <v>0.4</v>
      </c>
      <c r="F33" s="605"/>
      <c r="G33" s="96"/>
    </row>
    <row r="34" spans="2:14" ht="16.5" thickTop="1" thickBot="1">
      <c r="B34" s="96"/>
      <c r="C34" s="467"/>
      <c r="D34" s="467"/>
      <c r="E34" s="606"/>
      <c r="F34" s="607"/>
      <c r="G34" s="96"/>
      <c r="K34" s="23"/>
      <c r="L34" s="23"/>
      <c r="M34" s="23"/>
      <c r="N34" s="23"/>
    </row>
    <row r="35" spans="2:14" ht="15.75" thickTop="1">
      <c r="B35" s="12"/>
      <c r="C35" s="12"/>
      <c r="D35" s="12"/>
      <c r="E35" s="12"/>
      <c r="F35" s="12"/>
      <c r="G35" s="12"/>
    </row>
    <row r="36" spans="2:14" ht="15" customHeight="1">
      <c r="B36" s="96"/>
      <c r="C36" s="96"/>
      <c r="D36" s="96"/>
      <c r="E36" s="96"/>
      <c r="F36" s="96"/>
      <c r="G36" s="96"/>
    </row>
    <row r="37" spans="2:14" ht="15.75" customHeight="1">
      <c r="B37" s="96"/>
      <c r="C37" s="96"/>
      <c r="D37" s="96"/>
      <c r="E37" s="96"/>
      <c r="F37" s="96"/>
      <c r="G37" s="96"/>
    </row>
    <row r="38" spans="2:14" ht="15.75" thickBot="1">
      <c r="B38" s="96"/>
      <c r="C38" s="467" t="s">
        <v>171</v>
      </c>
      <c r="D38" s="467"/>
      <c r="E38" s="467"/>
      <c r="F38" s="467"/>
      <c r="G38" s="96"/>
    </row>
    <row r="39" spans="2:14" ht="16.5" thickTop="1" thickBot="1">
      <c r="B39" s="96"/>
      <c r="C39" s="467"/>
      <c r="D39" s="467"/>
      <c r="E39" s="467"/>
      <c r="F39" s="467"/>
      <c r="G39" s="96"/>
    </row>
    <row r="40" spans="2:14" ht="15.75" thickTop="1">
      <c r="B40" s="96"/>
      <c r="C40" s="12"/>
      <c r="D40" s="12"/>
      <c r="E40" s="12"/>
      <c r="F40" s="12"/>
      <c r="G40" s="96"/>
    </row>
    <row r="41" spans="2:14">
      <c r="B41" s="96"/>
      <c r="C41" s="533" t="s">
        <v>172</v>
      </c>
      <c r="D41" s="533"/>
      <c r="E41" s="597">
        <f>IF(E7="Value By Experience",E33,IF(E7="Value From Curves",E14,E47))</f>
        <v>0.5</v>
      </c>
      <c r="F41" s="597"/>
      <c r="G41" s="96"/>
    </row>
    <row r="42" spans="2:14">
      <c r="B42" s="96"/>
      <c r="C42" s="12"/>
      <c r="D42" s="12"/>
      <c r="E42" s="234"/>
      <c r="F42" s="234"/>
      <c r="G42" s="96"/>
    </row>
    <row r="43" spans="2:14">
      <c r="B43" s="96"/>
      <c r="C43" s="533" t="s">
        <v>54</v>
      </c>
      <c r="D43" s="533"/>
      <c r="E43" s="597" t="str">
        <f>Master!E15</f>
        <v>Moderate</v>
      </c>
      <c r="F43" s="597"/>
      <c r="G43" s="96"/>
    </row>
    <row r="44" spans="2:14">
      <c r="B44" s="96"/>
      <c r="C44" s="12"/>
      <c r="D44" s="12"/>
      <c r="E44" s="12"/>
      <c r="F44" s="12"/>
      <c r="G44" s="96"/>
    </row>
    <row r="45" spans="2:14">
      <c r="B45" s="96"/>
      <c r="C45" s="533" t="s">
        <v>173</v>
      </c>
      <c r="D45" s="533"/>
      <c r="E45" s="597" t="str">
        <f>Master!E27</f>
        <v>Reinforced Concrete</v>
      </c>
      <c r="F45" s="597"/>
      <c r="G45" s="96"/>
    </row>
    <row r="46" spans="2:14">
      <c r="B46" s="96"/>
      <c r="C46" s="12"/>
      <c r="D46" s="12"/>
      <c r="E46" s="12"/>
      <c r="F46" s="12"/>
      <c r="G46" s="96"/>
    </row>
    <row r="47" spans="2:14">
      <c r="B47" s="96"/>
      <c r="C47" s="533" t="s">
        <v>176</v>
      </c>
      <c r="D47" s="533"/>
      <c r="E47" s="360">
        <f>IF(E45="Reinforced Concrete",CHOOSE(MATCH(E43,J16:J24,0),O16,O17,O18,O19,O20,O21,O22,O23,O24),CHOOSE(MATCH(E43,J16:J26,0),L16,L17,L18,L19,L20,L21,L22,L23,L24))</f>
        <v>0.5</v>
      </c>
      <c r="F47" s="361"/>
      <c r="G47" s="96"/>
    </row>
    <row r="48" spans="2:14">
      <c r="B48" s="96"/>
      <c r="C48" s="533" t="s">
        <v>175</v>
      </c>
      <c r="D48" s="533"/>
      <c r="E48" s="352"/>
      <c r="F48" s="352"/>
      <c r="G48" s="96"/>
      <c r="K48" s="23"/>
      <c r="L48" s="23"/>
      <c r="M48" s="23"/>
      <c r="N48" s="23"/>
    </row>
    <row r="49" spans="2:7">
      <c r="B49" s="96"/>
      <c r="C49" s="12"/>
      <c r="D49" s="12"/>
      <c r="E49" s="12"/>
      <c r="F49" s="12"/>
      <c r="G49" s="96"/>
    </row>
    <row r="50" spans="2:7">
      <c r="B50" s="96"/>
      <c r="C50" s="96"/>
      <c r="D50" s="96"/>
      <c r="E50" s="96"/>
      <c r="F50" s="96"/>
      <c r="G50" s="96"/>
    </row>
    <row r="51" spans="2:7" ht="15.75" thickBot="1">
      <c r="B51" s="96"/>
      <c r="C51" s="608" t="s">
        <v>423</v>
      </c>
      <c r="D51" s="608"/>
      <c r="E51" s="609">
        <f>IF(E41&lt;E47,E41,E47)</f>
        <v>0.5</v>
      </c>
      <c r="F51" s="609"/>
      <c r="G51" s="96"/>
    </row>
    <row r="52" spans="2:7" ht="16.5" thickTop="1" thickBot="1">
      <c r="B52" s="96"/>
      <c r="C52" s="608"/>
      <c r="D52" s="608"/>
      <c r="E52" s="609"/>
      <c r="F52" s="609"/>
      <c r="G52" s="96"/>
    </row>
    <row r="53" spans="2:7" ht="15.75" thickTop="1">
      <c r="B53" s="96"/>
      <c r="C53" s="96"/>
      <c r="D53" s="96"/>
      <c r="E53" s="96"/>
      <c r="F53" s="96"/>
      <c r="G53" s="96"/>
    </row>
  </sheetData>
  <sheetProtection password="C08E" sheet="1" formatCells="0" formatColumns="0" formatRows="0" insertColumns="0" insertRows="0" insertHyperlinks="0" deleteColumns="0" deleteRows="0" autoFilter="0" pivotTables="0"/>
  <mergeCells count="45">
    <mergeCell ref="C51:D52"/>
    <mergeCell ref="E51:F52"/>
    <mergeCell ref="C43:D43"/>
    <mergeCell ref="E43:F43"/>
    <mergeCell ref="C45:D45"/>
    <mergeCell ref="E45:F45"/>
    <mergeCell ref="C47:D47"/>
    <mergeCell ref="C48:D48"/>
    <mergeCell ref="C41:D41"/>
    <mergeCell ref="E41:F41"/>
    <mergeCell ref="C26:D26"/>
    <mergeCell ref="E26:F26"/>
    <mergeCell ref="C27:D27"/>
    <mergeCell ref="E27:F27"/>
    <mergeCell ref="C28:D28"/>
    <mergeCell ref="E28:F28"/>
    <mergeCell ref="C29:D29"/>
    <mergeCell ref="E29:F29"/>
    <mergeCell ref="C33:D34"/>
    <mergeCell ref="E33:F34"/>
    <mergeCell ref="C38:F39"/>
    <mergeCell ref="C23:D23"/>
    <mergeCell ref="E23:F23"/>
    <mergeCell ref="C24:D24"/>
    <mergeCell ref="E24:F24"/>
    <mergeCell ref="C25:D25"/>
    <mergeCell ref="E25:F25"/>
    <mergeCell ref="C22:D22"/>
    <mergeCell ref="E22:F22"/>
    <mergeCell ref="C9:F10"/>
    <mergeCell ref="K10:M11"/>
    <mergeCell ref="N10:P11"/>
    <mergeCell ref="E13:F13"/>
    <mergeCell ref="C14:D14"/>
    <mergeCell ref="E14:F14"/>
    <mergeCell ref="C17:F18"/>
    <mergeCell ref="C20:D21"/>
    <mergeCell ref="E20:F21"/>
    <mergeCell ref="I7:M8"/>
    <mergeCell ref="B4:G4"/>
    <mergeCell ref="B2:G3"/>
    <mergeCell ref="P2:Q3"/>
    <mergeCell ref="R2:S3"/>
    <mergeCell ref="C7:D7"/>
    <mergeCell ref="E7:F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sheetPr codeName="Sheet16"/>
  <dimension ref="B1:M43"/>
  <sheetViews>
    <sheetView topLeftCell="A7" workbookViewId="0">
      <selection activeCell="L16" sqref="L16"/>
    </sheetView>
  </sheetViews>
  <sheetFormatPr defaultRowHeight="15"/>
  <cols>
    <col min="1" max="1" width="9.140625" style="24"/>
    <col min="2" max="2" width="6.42578125" style="24" customWidth="1"/>
    <col min="3" max="3" width="9.42578125" style="24" customWidth="1"/>
    <col min="4" max="4" width="28.85546875" style="24" customWidth="1"/>
    <col min="5" max="5" width="25.7109375" style="24" customWidth="1"/>
    <col min="6" max="6" width="7.7109375" style="24" customWidth="1"/>
    <col min="7" max="7" width="7.42578125" style="24" customWidth="1"/>
    <col min="8" max="8" width="16.5703125" style="24" customWidth="1"/>
    <col min="9" max="9" width="5" style="24" customWidth="1"/>
    <col min="10" max="10" width="28.5703125" style="24" customWidth="1"/>
    <col min="11" max="11" width="20.42578125" style="24" customWidth="1"/>
    <col min="12" max="12" width="15.42578125" style="24" customWidth="1"/>
    <col min="13" max="13" width="5.140625" style="24" customWidth="1"/>
    <col min="14" max="16384" width="9.140625" style="24"/>
  </cols>
  <sheetData>
    <row r="1" spans="2:13">
      <c r="G1" s="19"/>
      <c r="H1" s="19"/>
    </row>
    <row r="2" spans="2:13" ht="15" customHeight="1">
      <c r="C2" s="574"/>
      <c r="D2" s="574"/>
      <c r="E2" s="574"/>
      <c r="F2" s="575"/>
      <c r="G2" s="19"/>
      <c r="H2" s="19"/>
    </row>
    <row r="3" spans="2:13" ht="15" customHeight="1">
      <c r="C3" s="577"/>
      <c r="D3" s="577"/>
      <c r="E3" s="577"/>
      <c r="F3" s="578"/>
      <c r="G3" s="19"/>
      <c r="H3" s="19"/>
    </row>
    <row r="4" spans="2:13">
      <c r="C4" s="522"/>
      <c r="D4" s="522"/>
      <c r="E4" s="522"/>
      <c r="F4" s="523"/>
      <c r="G4" s="19"/>
      <c r="H4" s="19"/>
    </row>
    <row r="5" spans="2:13">
      <c r="G5" s="19"/>
      <c r="H5" s="19"/>
    </row>
    <row r="6" spans="2:13">
      <c r="B6" s="63"/>
      <c r="C6" s="63"/>
      <c r="D6" s="63"/>
      <c r="E6" s="63"/>
      <c r="F6" s="63"/>
      <c r="I6" s="12"/>
      <c r="J6" s="12"/>
      <c r="K6" s="12"/>
      <c r="L6" s="12"/>
      <c r="M6" s="96"/>
    </row>
    <row r="7" spans="2:13" ht="15.75" customHeight="1">
      <c r="B7" s="63"/>
      <c r="C7" s="622" t="s">
        <v>55</v>
      </c>
      <c r="D7" s="623"/>
      <c r="E7" s="358" t="str">
        <f>Master!E21</f>
        <v>Crushed Angular</v>
      </c>
      <c r="F7" s="307"/>
      <c r="I7" s="620" t="s">
        <v>420</v>
      </c>
      <c r="J7" s="620"/>
      <c r="K7" s="620"/>
      <c r="L7" s="349"/>
      <c r="M7" s="96"/>
    </row>
    <row r="8" spans="2:13" ht="16.5" customHeight="1" thickBot="1">
      <c r="B8" s="63"/>
      <c r="C8" s="347"/>
      <c r="D8" s="347"/>
      <c r="E8" s="348"/>
      <c r="F8" s="307"/>
      <c r="I8" s="621"/>
      <c r="J8" s="621"/>
      <c r="K8" s="621"/>
      <c r="L8" s="349"/>
      <c r="M8" s="96"/>
    </row>
    <row r="9" spans="2:13" ht="15" customHeight="1" thickTop="1">
      <c r="B9" s="63"/>
      <c r="C9" s="63"/>
      <c r="D9" s="63"/>
      <c r="E9" s="63"/>
      <c r="F9" s="64"/>
      <c r="I9" s="12"/>
      <c r="J9" s="235"/>
      <c r="K9" s="235"/>
      <c r="L9" s="235"/>
      <c r="M9" s="96"/>
    </row>
    <row r="10" spans="2:13" ht="15" customHeight="1">
      <c r="B10" s="63"/>
      <c r="C10" s="618" t="s">
        <v>430</v>
      </c>
      <c r="D10" s="618"/>
      <c r="E10" s="618"/>
      <c r="F10" s="63"/>
      <c r="I10" s="12"/>
      <c r="J10" s="533" t="s">
        <v>76</v>
      </c>
      <c r="K10" s="533"/>
      <c r="L10" s="297">
        <f>Master!E57</f>
        <v>20</v>
      </c>
      <c r="M10" s="96"/>
    </row>
    <row r="11" spans="2:13" ht="15.75" customHeight="1" thickBot="1">
      <c r="B11" s="63"/>
      <c r="C11" s="619" t="s">
        <v>431</v>
      </c>
      <c r="D11" s="619"/>
      <c r="E11" s="619"/>
      <c r="F11" s="63"/>
      <c r="I11" s="12"/>
      <c r="J11" s="234"/>
      <c r="K11" s="12"/>
      <c r="L11" s="234"/>
      <c r="M11" s="96"/>
    </row>
    <row r="12" spans="2:13" ht="15.75" customHeight="1">
      <c r="B12" s="63"/>
      <c r="C12" s="63"/>
      <c r="D12" s="63"/>
      <c r="E12" s="63"/>
      <c r="F12" s="308"/>
      <c r="I12" s="12"/>
      <c r="J12" s="533" t="s">
        <v>72</v>
      </c>
      <c r="K12" s="533"/>
      <c r="L12" s="297">
        <f>IF(L10=D16,E16,IF(L10=D18,E18,E20))</f>
        <v>186</v>
      </c>
      <c r="M12" s="96"/>
    </row>
    <row r="13" spans="2:13" ht="15.75" customHeight="1">
      <c r="B13" s="63"/>
      <c r="C13" s="310" t="s">
        <v>28</v>
      </c>
      <c r="D13" s="198" t="s">
        <v>70</v>
      </c>
      <c r="E13" s="372" t="s">
        <v>68</v>
      </c>
      <c r="F13" s="309"/>
      <c r="I13" s="12"/>
      <c r="J13" s="12"/>
      <c r="K13" s="12"/>
      <c r="L13" s="234"/>
      <c r="M13" s="96"/>
    </row>
    <row r="14" spans="2:13">
      <c r="B14" s="63"/>
      <c r="C14" s="311"/>
      <c r="D14" s="200" t="s">
        <v>71</v>
      </c>
      <c r="E14" s="374" t="s">
        <v>69</v>
      </c>
      <c r="F14" s="63"/>
      <c r="I14" s="12"/>
      <c r="J14" s="533" t="s">
        <v>74</v>
      </c>
      <c r="K14" s="533"/>
      <c r="L14" s="297">
        <f>Master!E12</f>
        <v>100</v>
      </c>
      <c r="M14" s="96"/>
    </row>
    <row r="15" spans="2:13">
      <c r="B15" s="63"/>
      <c r="C15" s="312"/>
      <c r="D15" s="217"/>
      <c r="E15" s="198"/>
      <c r="F15" s="63"/>
      <c r="I15" s="12"/>
      <c r="J15" s="12"/>
      <c r="K15" s="12"/>
      <c r="L15" s="234"/>
      <c r="M15" s="96"/>
    </row>
    <row r="16" spans="2:13">
      <c r="B16" s="63"/>
      <c r="C16" s="313">
        <v>1</v>
      </c>
      <c r="D16" s="199">
        <v>10</v>
      </c>
      <c r="E16" s="199">
        <v>208</v>
      </c>
      <c r="F16" s="63"/>
      <c r="I16" s="12"/>
      <c r="J16" s="533" t="s">
        <v>73</v>
      </c>
      <c r="K16" s="533"/>
      <c r="L16" s="297">
        <f>3*(L14-50)/25</f>
        <v>6</v>
      </c>
      <c r="M16" s="96"/>
    </row>
    <row r="17" spans="2:13">
      <c r="B17" s="63"/>
      <c r="C17" s="314"/>
      <c r="D17" s="217"/>
      <c r="E17" s="199"/>
      <c r="F17" s="63"/>
      <c r="I17" s="12"/>
      <c r="J17" s="12"/>
      <c r="K17" s="12"/>
      <c r="L17" s="12"/>
      <c r="M17" s="96"/>
    </row>
    <row r="18" spans="2:13">
      <c r="B18" s="63"/>
      <c r="C18" s="313">
        <v>2</v>
      </c>
      <c r="D18" s="199">
        <v>20</v>
      </c>
      <c r="E18" s="199">
        <v>186</v>
      </c>
      <c r="F18" s="63"/>
      <c r="I18" s="12"/>
      <c r="J18" s="533" t="s">
        <v>75</v>
      </c>
      <c r="K18" s="533"/>
      <c r="L18" s="233">
        <f>L12+(L16/100*L12)</f>
        <v>197.16</v>
      </c>
      <c r="M18" s="96"/>
    </row>
    <row r="19" spans="2:13">
      <c r="B19" s="63"/>
      <c r="C19" s="314"/>
      <c r="D19" s="217"/>
      <c r="E19" s="199"/>
      <c r="F19" s="63"/>
      <c r="I19" s="12"/>
      <c r="J19" s="533" t="s">
        <v>77</v>
      </c>
      <c r="K19" s="533"/>
      <c r="L19" s="352"/>
      <c r="M19" s="96"/>
    </row>
    <row r="20" spans="2:13">
      <c r="B20" s="63"/>
      <c r="C20" s="281">
        <v>3</v>
      </c>
      <c r="D20" s="200">
        <v>40</v>
      </c>
      <c r="E20" s="200">
        <v>165</v>
      </c>
      <c r="F20" s="63"/>
      <c r="I20" s="12"/>
      <c r="J20" s="12"/>
      <c r="K20" s="12"/>
      <c r="L20" s="12"/>
      <c r="M20" s="96"/>
    </row>
    <row r="21" spans="2:13">
      <c r="B21" s="63"/>
      <c r="C21" s="63"/>
      <c r="D21" s="63"/>
      <c r="E21" s="63"/>
      <c r="F21" s="63"/>
      <c r="I21" s="12"/>
      <c r="J21" s="12"/>
      <c r="K21" s="12"/>
      <c r="L21" s="12"/>
      <c r="M21" s="96"/>
    </row>
    <row r="22" spans="2:13" ht="15" customHeight="1">
      <c r="B22" s="63"/>
      <c r="C22" s="63"/>
      <c r="D22" s="63"/>
      <c r="E22" s="63"/>
      <c r="F22" s="63"/>
      <c r="I22" s="620" t="s">
        <v>421</v>
      </c>
      <c r="J22" s="620"/>
      <c r="K22" s="620"/>
      <c r="L22" s="349"/>
      <c r="M22" s="96"/>
    </row>
    <row r="23" spans="2:13" ht="15.75" customHeight="1" thickBot="1">
      <c r="B23" s="63"/>
      <c r="C23" s="624" t="s">
        <v>84</v>
      </c>
      <c r="D23" s="624"/>
      <c r="E23" s="624"/>
      <c r="F23" s="63"/>
      <c r="G23" s="26"/>
      <c r="H23" s="26"/>
      <c r="I23" s="621"/>
      <c r="J23" s="621"/>
      <c r="K23" s="621"/>
      <c r="L23" s="349"/>
      <c r="M23" s="96"/>
    </row>
    <row r="24" spans="2:13" ht="16.5" thickTop="1" thickBot="1">
      <c r="B24" s="63"/>
      <c r="C24" s="625" t="s">
        <v>432</v>
      </c>
      <c r="D24" s="625"/>
      <c r="E24" s="625"/>
      <c r="F24" s="63"/>
      <c r="G24" s="26"/>
      <c r="H24" s="26"/>
      <c r="I24" s="12"/>
      <c r="J24" s="235"/>
      <c r="K24" s="235"/>
      <c r="L24" s="235"/>
      <c r="M24" s="96"/>
    </row>
    <row r="25" spans="2:13">
      <c r="B25" s="63"/>
      <c r="C25" s="371"/>
      <c r="D25" s="371"/>
      <c r="E25" s="371"/>
      <c r="F25" s="63"/>
      <c r="I25" s="12"/>
      <c r="J25" s="533" t="s">
        <v>86</v>
      </c>
      <c r="K25" s="533"/>
      <c r="L25" s="297">
        <f>LOOKUP(0.5*MATCH(E7,D29:D36,0),C29:C36,E29:E36)</f>
        <v>0</v>
      </c>
      <c r="M25" s="96"/>
    </row>
    <row r="26" spans="2:13">
      <c r="B26" s="63"/>
      <c r="C26" s="312"/>
      <c r="D26" s="616" t="s">
        <v>29</v>
      </c>
      <c r="E26" s="198" t="s">
        <v>79</v>
      </c>
      <c r="F26" s="63"/>
      <c r="I26" s="12"/>
      <c r="J26" s="533"/>
      <c r="K26" s="533"/>
      <c r="L26" s="12"/>
      <c r="M26" s="96"/>
    </row>
    <row r="27" spans="2:13">
      <c r="B27" s="63"/>
      <c r="C27" s="314"/>
      <c r="D27" s="617"/>
      <c r="E27" s="199" t="s">
        <v>80</v>
      </c>
      <c r="F27" s="64"/>
      <c r="I27" s="12"/>
      <c r="J27" s="533" t="s">
        <v>87</v>
      </c>
      <c r="K27" s="533"/>
      <c r="L27" s="118">
        <f>L18-E39</f>
        <v>197.16</v>
      </c>
      <c r="M27" s="96"/>
    </row>
    <row r="28" spans="2:13">
      <c r="B28" s="63"/>
      <c r="C28" s="373"/>
      <c r="D28" s="374"/>
      <c r="E28" s="200"/>
      <c r="F28" s="64"/>
      <c r="I28" s="12"/>
      <c r="J28" s="12"/>
      <c r="K28" s="12"/>
      <c r="L28" s="12"/>
      <c r="M28" s="96"/>
    </row>
    <row r="29" spans="2:13">
      <c r="B29" s="63"/>
      <c r="C29" s="241"/>
      <c r="D29" s="370"/>
      <c r="E29" s="199"/>
      <c r="F29" s="64"/>
      <c r="I29" s="96"/>
      <c r="J29" s="96"/>
      <c r="K29" s="96"/>
      <c r="L29" s="96"/>
      <c r="M29" s="96"/>
    </row>
    <row r="30" spans="2:13" ht="15" customHeight="1" thickBot="1">
      <c r="B30" s="63"/>
      <c r="C30" s="313">
        <v>1</v>
      </c>
      <c r="D30" s="199" t="s">
        <v>81</v>
      </c>
      <c r="E30" s="199">
        <v>0</v>
      </c>
      <c r="F30" s="64"/>
      <c r="I30" s="467" t="s">
        <v>296</v>
      </c>
      <c r="J30" s="467"/>
      <c r="K30" s="467"/>
      <c r="L30" s="350"/>
      <c r="M30" s="96"/>
    </row>
    <row r="31" spans="2:13" ht="15.75" customHeight="1" thickTop="1" thickBot="1">
      <c r="B31" s="63"/>
      <c r="C31" s="314"/>
      <c r="D31" s="217"/>
      <c r="E31" s="199"/>
      <c r="F31" s="64"/>
      <c r="I31" s="467"/>
      <c r="J31" s="467"/>
      <c r="K31" s="467"/>
      <c r="L31" s="350"/>
      <c r="M31" s="96"/>
    </row>
    <row r="32" spans="2:13" ht="15.75" thickTop="1">
      <c r="B32" s="63"/>
      <c r="C32" s="313">
        <v>2</v>
      </c>
      <c r="D32" s="199" t="s">
        <v>82</v>
      </c>
      <c r="E32" s="199">
        <v>10</v>
      </c>
      <c r="F32" s="64"/>
      <c r="I32" s="12"/>
      <c r="J32" s="235"/>
      <c r="K32" s="235"/>
      <c r="L32" s="235"/>
      <c r="M32" s="96"/>
    </row>
    <row r="33" spans="2:13">
      <c r="B33" s="63"/>
      <c r="C33" s="314"/>
      <c r="D33" s="217"/>
      <c r="E33" s="199"/>
      <c r="F33" s="64"/>
      <c r="I33" s="12"/>
      <c r="J33" s="533" t="s">
        <v>78</v>
      </c>
      <c r="K33" s="533"/>
      <c r="L33" s="297">
        <f>Master!E111</f>
        <v>0</v>
      </c>
      <c r="M33" s="96"/>
    </row>
    <row r="34" spans="2:13">
      <c r="B34" s="63"/>
      <c r="C34" s="315">
        <v>3</v>
      </c>
      <c r="D34" s="626" t="s">
        <v>85</v>
      </c>
      <c r="E34" s="280">
        <v>20</v>
      </c>
      <c r="F34" s="64"/>
      <c r="I34" s="12"/>
      <c r="J34" s="12"/>
      <c r="K34" s="12"/>
      <c r="L34" s="234"/>
      <c r="M34" s="96"/>
    </row>
    <row r="35" spans="2:13">
      <c r="B35" s="63"/>
      <c r="C35" s="315"/>
      <c r="D35" s="626"/>
      <c r="E35" s="280"/>
      <c r="F35" s="64"/>
      <c r="I35" s="12"/>
      <c r="J35" s="533" t="s">
        <v>87</v>
      </c>
      <c r="K35" s="533"/>
      <c r="L35" s="118">
        <f>L27*(1-(L33/100))</f>
        <v>197.16</v>
      </c>
      <c r="M35" s="96"/>
    </row>
    <row r="36" spans="2:13">
      <c r="B36" s="63"/>
      <c r="C36" s="281">
        <v>4</v>
      </c>
      <c r="D36" s="200" t="s">
        <v>83</v>
      </c>
      <c r="E36" s="200">
        <v>25</v>
      </c>
      <c r="F36" s="63"/>
      <c r="I36" s="12"/>
      <c r="J36" s="12"/>
      <c r="K36" s="12"/>
      <c r="L36" s="99"/>
      <c r="M36" s="96"/>
    </row>
    <row r="37" spans="2:13">
      <c r="B37" s="63"/>
      <c r="C37" s="63"/>
      <c r="D37" s="63"/>
      <c r="E37" s="63"/>
      <c r="F37" s="64"/>
      <c r="I37" s="12"/>
      <c r="J37" s="12"/>
      <c r="K37" s="12"/>
      <c r="L37" s="353">
        <f>L35</f>
        <v>197.16</v>
      </c>
      <c r="M37" s="96"/>
    </row>
    <row r="38" spans="2:13" ht="14.25" customHeight="1">
      <c r="B38" s="63"/>
      <c r="C38" s="63"/>
      <c r="D38" s="63"/>
      <c r="E38" s="63"/>
      <c r="F38" s="63"/>
      <c r="I38" s="316"/>
      <c r="J38" s="12"/>
      <c r="K38" s="12"/>
      <c r="L38" s="351"/>
      <c r="M38" s="96"/>
    </row>
    <row r="39" spans="2:13">
      <c r="B39" s="63"/>
      <c r="C39" s="610" t="s">
        <v>433</v>
      </c>
      <c r="D39" s="611"/>
      <c r="E39" s="614">
        <f>LOOKUP(0.5*MATCH(E7,D29:D36,0),C29:C36,E29:E36)</f>
        <v>0</v>
      </c>
      <c r="F39" s="63"/>
      <c r="I39" s="96"/>
      <c r="J39" s="96"/>
      <c r="K39" s="12"/>
      <c r="L39" s="12"/>
      <c r="M39" s="96"/>
    </row>
    <row r="40" spans="2:13">
      <c r="B40" s="63"/>
      <c r="C40" s="612"/>
      <c r="D40" s="613"/>
      <c r="E40" s="615"/>
      <c r="F40" s="63"/>
      <c r="G40" s="20"/>
      <c r="H40" s="20"/>
    </row>
    <row r="41" spans="2:13">
      <c r="B41" s="63"/>
      <c r="C41" s="63"/>
      <c r="D41" s="63"/>
      <c r="E41" s="63"/>
      <c r="F41" s="65"/>
      <c r="J41" s="24">
        <f>MATCH(E7,D29:D36,0)</f>
        <v>2</v>
      </c>
    </row>
    <row r="42" spans="2:13">
      <c r="B42" s="63"/>
      <c r="C42" s="63"/>
      <c r="D42" s="63"/>
      <c r="E42" s="63"/>
      <c r="F42" s="63"/>
    </row>
    <row r="43" spans="2:13">
      <c r="B43" s="63"/>
      <c r="C43" s="63"/>
      <c r="D43" s="63"/>
      <c r="E43" s="63"/>
      <c r="F43" s="63"/>
    </row>
  </sheetData>
  <sheetProtection password="C08E" sheet="1" formatCells="0" formatColumns="0" formatRows="0" insertColumns="0" insertRows="0" insertHyperlinks="0" deleteColumns="0" deleteRows="0" sort="0" autoFilter="0" pivotTables="0"/>
  <mergeCells count="25">
    <mergeCell ref="J35:K35"/>
    <mergeCell ref="I7:K8"/>
    <mergeCell ref="J33:K33"/>
    <mergeCell ref="C23:E23"/>
    <mergeCell ref="J26:K26"/>
    <mergeCell ref="C24:E24"/>
    <mergeCell ref="J27:K27"/>
    <mergeCell ref="I30:K31"/>
    <mergeCell ref="D34:D35"/>
    <mergeCell ref="C39:D40"/>
    <mergeCell ref="E39:E40"/>
    <mergeCell ref="C2:F3"/>
    <mergeCell ref="C4:F4"/>
    <mergeCell ref="J10:K10"/>
    <mergeCell ref="D26:D27"/>
    <mergeCell ref="J18:K18"/>
    <mergeCell ref="C10:E10"/>
    <mergeCell ref="J12:K12"/>
    <mergeCell ref="C11:E11"/>
    <mergeCell ref="J14:K14"/>
    <mergeCell ref="J16:K16"/>
    <mergeCell ref="J19:K19"/>
    <mergeCell ref="J25:K25"/>
    <mergeCell ref="I22:K23"/>
    <mergeCell ref="C7:D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8"/>
  <dimension ref="A2:O60"/>
  <sheetViews>
    <sheetView topLeftCell="A7" workbookViewId="0">
      <selection activeCell="I25" sqref="I25"/>
    </sheetView>
  </sheetViews>
  <sheetFormatPr defaultRowHeight="15"/>
  <cols>
    <col min="1" max="1" width="9.140625" style="24"/>
    <col min="2" max="2" width="5.28515625" style="24" customWidth="1"/>
    <col min="3" max="3" width="55.28515625" style="24" customWidth="1"/>
    <col min="4" max="4" width="21" style="24" customWidth="1"/>
    <col min="5" max="5" width="5.140625" style="24" customWidth="1"/>
    <col min="6" max="6" width="9.140625" style="24"/>
    <col min="7" max="7" width="6.7109375" style="24" customWidth="1"/>
    <col min="8" max="8" width="14" style="24" customWidth="1"/>
    <col min="9" max="9" width="16.85546875" style="24" customWidth="1"/>
    <col min="10" max="10" width="14" style="24" customWidth="1"/>
    <col min="11" max="11" width="13.42578125" style="24" customWidth="1"/>
    <col min="12" max="12" width="13.7109375" style="24" customWidth="1"/>
    <col min="13" max="13" width="12.28515625" style="24" customWidth="1"/>
    <col min="14" max="14" width="12.42578125" style="24" customWidth="1"/>
    <col min="15" max="16384" width="9.140625" style="24"/>
  </cols>
  <sheetData>
    <row r="2" spans="1:15" ht="15" customHeight="1"/>
    <row r="3" spans="1:15" ht="15" customHeight="1">
      <c r="C3" s="496" t="s">
        <v>270</v>
      </c>
      <c r="D3" s="575"/>
      <c r="E3" s="33"/>
      <c r="F3" s="33"/>
    </row>
    <row r="4" spans="1:15" ht="15" customHeight="1">
      <c r="C4" s="576"/>
      <c r="D4" s="578"/>
      <c r="E4" s="33"/>
      <c r="F4" s="33"/>
    </row>
    <row r="5" spans="1:15">
      <c r="C5" s="521" t="s">
        <v>271</v>
      </c>
      <c r="D5" s="523"/>
    </row>
    <row r="7" spans="1:15">
      <c r="B7" s="80"/>
      <c r="C7" s="80"/>
      <c r="D7" s="80"/>
      <c r="E7" s="80"/>
    </row>
    <row r="8" spans="1:15" ht="15.75" thickBot="1">
      <c r="B8" s="42"/>
      <c r="C8" s="520" t="s">
        <v>88</v>
      </c>
      <c r="D8" s="520"/>
      <c r="E8" s="42"/>
      <c r="F8" s="23"/>
      <c r="G8" s="23"/>
      <c r="H8" s="23"/>
      <c r="I8" s="23"/>
    </row>
    <row r="9" spans="1:15" ht="16.5" thickTop="1" thickBot="1">
      <c r="B9" s="42"/>
      <c r="C9" s="520"/>
      <c r="D9" s="520"/>
      <c r="E9" s="42"/>
      <c r="F9" s="23"/>
      <c r="G9" s="64"/>
      <c r="H9" s="64"/>
      <c r="I9" s="64"/>
      <c r="J9" s="63"/>
      <c r="K9" s="63"/>
      <c r="L9" s="63"/>
      <c r="M9" s="63"/>
      <c r="N9" s="63"/>
      <c r="O9" s="63"/>
    </row>
    <row r="10" spans="1:15" ht="16.5" customHeight="1" thickTop="1">
      <c r="B10" s="80"/>
      <c r="C10" s="80"/>
      <c r="D10" s="80"/>
      <c r="E10" s="80"/>
      <c r="F10" s="23"/>
      <c r="G10" s="377"/>
      <c r="H10" s="620" t="s">
        <v>418</v>
      </c>
      <c r="I10" s="620"/>
      <c r="J10" s="620"/>
      <c r="K10" s="620"/>
      <c r="L10" s="620"/>
      <c r="M10" s="620"/>
      <c r="N10" s="620"/>
      <c r="O10" s="63"/>
    </row>
    <row r="11" spans="1:15" ht="16.5" customHeight="1" thickBot="1">
      <c r="B11" s="42"/>
      <c r="C11" s="232" t="s">
        <v>27</v>
      </c>
      <c r="D11" s="456">
        <f>WC!E51</f>
        <v>0.5</v>
      </c>
      <c r="E11" s="42"/>
      <c r="F11" s="23"/>
      <c r="G11" s="377"/>
      <c r="H11" s="621"/>
      <c r="I11" s="621"/>
      <c r="J11" s="621"/>
      <c r="K11" s="621"/>
      <c r="L11" s="621"/>
      <c r="M11" s="621"/>
      <c r="N11" s="621"/>
      <c r="O11" s="63"/>
    </row>
    <row r="12" spans="1:15" ht="15.75" thickTop="1">
      <c r="A12" s="26"/>
      <c r="B12" s="42"/>
      <c r="C12" s="278"/>
      <c r="D12" s="375"/>
      <c r="E12" s="42"/>
      <c r="F12" s="23"/>
      <c r="G12" s="64"/>
      <c r="H12" s="63"/>
      <c r="I12" s="63"/>
      <c r="J12" s="63"/>
      <c r="K12" s="63"/>
      <c r="L12" s="63"/>
      <c r="M12" s="63"/>
      <c r="N12" s="63"/>
      <c r="O12" s="63"/>
    </row>
    <row r="13" spans="1:15">
      <c r="A13" s="26"/>
      <c r="B13" s="42"/>
      <c r="C13" s="278" t="s">
        <v>92</v>
      </c>
      <c r="D13" s="118">
        <f>'Water Content'!L35</f>
        <v>197.16</v>
      </c>
      <c r="E13" s="42"/>
      <c r="F13" s="23"/>
      <c r="G13" s="64"/>
      <c r="H13" s="330" t="s">
        <v>419</v>
      </c>
      <c r="I13" s="644" t="s">
        <v>170</v>
      </c>
      <c r="J13" s="645"/>
      <c r="K13" s="646"/>
      <c r="L13" s="644" t="s">
        <v>169</v>
      </c>
      <c r="M13" s="645"/>
      <c r="N13" s="646"/>
      <c r="O13" s="63"/>
    </row>
    <row r="14" spans="1:15">
      <c r="A14" s="26"/>
      <c r="B14" s="42"/>
      <c r="C14" s="232"/>
      <c r="D14" s="232"/>
      <c r="E14" s="42"/>
      <c r="F14" s="23"/>
      <c r="G14" s="64"/>
      <c r="H14" s="331" t="s">
        <v>417</v>
      </c>
      <c r="I14" s="647"/>
      <c r="J14" s="648"/>
      <c r="K14" s="649"/>
      <c r="L14" s="647"/>
      <c r="M14" s="648"/>
      <c r="N14" s="649"/>
      <c r="O14" s="63"/>
    </row>
    <row r="15" spans="1:15">
      <c r="A15" s="26"/>
      <c r="B15" s="42"/>
      <c r="C15" s="232" t="s">
        <v>89</v>
      </c>
      <c r="D15" s="118">
        <f>D13/D11</f>
        <v>394.32</v>
      </c>
      <c r="E15" s="42"/>
      <c r="F15" s="23"/>
      <c r="G15" s="64"/>
      <c r="H15" s="332"/>
      <c r="I15" s="333" t="s">
        <v>167</v>
      </c>
      <c r="J15" s="333" t="s">
        <v>168</v>
      </c>
      <c r="K15" s="334" t="s">
        <v>167</v>
      </c>
      <c r="L15" s="335" t="s">
        <v>167</v>
      </c>
      <c r="M15" s="333" t="s">
        <v>168</v>
      </c>
      <c r="N15" s="334" t="s">
        <v>167</v>
      </c>
      <c r="O15" s="63"/>
    </row>
    <row r="16" spans="1:15">
      <c r="A16" s="26"/>
      <c r="B16" s="42"/>
      <c r="C16" s="232"/>
      <c r="D16" s="232"/>
      <c r="E16" s="42"/>
      <c r="F16" s="23"/>
      <c r="G16" s="64"/>
      <c r="H16" s="336"/>
      <c r="I16" s="331" t="s">
        <v>166</v>
      </c>
      <c r="J16" s="331" t="s">
        <v>165</v>
      </c>
      <c r="K16" s="337" t="s">
        <v>164</v>
      </c>
      <c r="L16" s="338" t="s">
        <v>166</v>
      </c>
      <c r="M16" s="331" t="s">
        <v>165</v>
      </c>
      <c r="N16" s="337" t="s">
        <v>164</v>
      </c>
      <c r="O16" s="63"/>
    </row>
    <row r="17" spans="1:15">
      <c r="B17" s="42"/>
      <c r="C17" s="232" t="s">
        <v>54</v>
      </c>
      <c r="D17" s="297" t="str">
        <f>Master!E15</f>
        <v>Moderate</v>
      </c>
      <c r="E17" s="42"/>
      <c r="F17" s="23"/>
      <c r="G17" s="64"/>
      <c r="H17" s="336"/>
      <c r="I17" s="339" t="s">
        <v>163</v>
      </c>
      <c r="J17" s="339"/>
      <c r="K17" s="340" t="s">
        <v>56</v>
      </c>
      <c r="L17" s="341" t="s">
        <v>163</v>
      </c>
      <c r="M17" s="339"/>
      <c r="N17" s="340" t="s">
        <v>56</v>
      </c>
      <c r="O17" s="63"/>
    </row>
    <row r="18" spans="1:15">
      <c r="B18" s="42"/>
      <c r="C18" s="42"/>
      <c r="D18" s="42"/>
      <c r="E18" s="42"/>
      <c r="F18" s="23"/>
      <c r="G18" s="64"/>
      <c r="H18" s="342"/>
      <c r="I18" s="336"/>
      <c r="J18" s="336"/>
      <c r="K18" s="343"/>
      <c r="L18" s="344"/>
      <c r="M18" s="336"/>
      <c r="N18" s="343"/>
      <c r="O18" s="63"/>
    </row>
    <row r="19" spans="1:15">
      <c r="B19" s="42"/>
      <c r="C19" s="232" t="s">
        <v>173</v>
      </c>
      <c r="D19" s="297" t="str">
        <f>Master!E27</f>
        <v>Reinforced Concrete</v>
      </c>
      <c r="E19" s="42"/>
      <c r="F19" s="23"/>
      <c r="G19" s="64"/>
      <c r="H19" s="331" t="s">
        <v>41</v>
      </c>
      <c r="I19" s="345">
        <v>220</v>
      </c>
      <c r="J19" s="331">
        <v>0.6</v>
      </c>
      <c r="K19" s="337" t="s">
        <v>42</v>
      </c>
      <c r="L19" s="338">
        <v>300</v>
      </c>
      <c r="M19" s="331">
        <v>0.55000000000000004</v>
      </c>
      <c r="N19" s="337" t="s">
        <v>43</v>
      </c>
      <c r="O19" s="63"/>
    </row>
    <row r="20" spans="1:15">
      <c r="B20" s="42"/>
      <c r="C20" s="42"/>
      <c r="D20" s="42"/>
      <c r="E20" s="42"/>
      <c r="F20" s="23"/>
      <c r="G20" s="64"/>
      <c r="H20" s="336"/>
      <c r="I20" s="336"/>
      <c r="J20" s="336"/>
      <c r="K20" s="343"/>
      <c r="L20" s="344"/>
      <c r="M20" s="336"/>
      <c r="N20" s="343"/>
      <c r="O20" s="63"/>
    </row>
    <row r="21" spans="1:15">
      <c r="B21" s="42"/>
      <c r="C21" s="232" t="s">
        <v>90</v>
      </c>
      <c r="D21" s="456">
        <f>IF(D19="Reinforced Concrete",CHOOSE(MATCH(D17,H18:H27,0),L18,L19,L20,L21,L22,L23,L24,L25,L26,L27),CHOOSE(MATCH(D17,H18:H27,0),I18,I19,I20,I21,I22,I23,I24,I25,I26,I27))</f>
        <v>300</v>
      </c>
      <c r="E21" s="42"/>
      <c r="F21" s="23"/>
      <c r="G21" s="64"/>
      <c r="H21" s="331" t="s">
        <v>44</v>
      </c>
      <c r="I21" s="345">
        <v>240</v>
      </c>
      <c r="J21" s="331">
        <v>0.6</v>
      </c>
      <c r="K21" s="337" t="s">
        <v>45</v>
      </c>
      <c r="L21" s="338">
        <v>300</v>
      </c>
      <c r="M21" s="331">
        <v>0.5</v>
      </c>
      <c r="N21" s="337" t="s">
        <v>46</v>
      </c>
      <c r="O21" s="63"/>
    </row>
    <row r="22" spans="1:15">
      <c r="A22" s="26"/>
      <c r="B22" s="80"/>
      <c r="C22" s="80"/>
      <c r="D22" s="80"/>
      <c r="E22" s="80"/>
      <c r="F22" s="23"/>
      <c r="G22" s="64"/>
      <c r="H22" s="336"/>
      <c r="I22" s="336"/>
      <c r="J22" s="336"/>
      <c r="K22" s="343"/>
      <c r="L22" s="344"/>
      <c r="M22" s="336"/>
      <c r="N22" s="343"/>
      <c r="O22" s="63"/>
    </row>
    <row r="23" spans="1:15">
      <c r="B23" s="80"/>
      <c r="C23" s="364" t="s">
        <v>435</v>
      </c>
      <c r="D23" s="323">
        <f>Master!E57</f>
        <v>20</v>
      </c>
      <c r="E23" s="80"/>
      <c r="F23" s="23"/>
      <c r="G23" s="64"/>
      <c r="H23" s="331" t="s">
        <v>47</v>
      </c>
      <c r="I23" s="345">
        <v>250</v>
      </c>
      <c r="J23" s="331">
        <v>0.5</v>
      </c>
      <c r="K23" s="337" t="s">
        <v>43</v>
      </c>
      <c r="L23" s="338">
        <v>320</v>
      </c>
      <c r="M23" s="331">
        <v>0.45</v>
      </c>
      <c r="N23" s="337" t="s">
        <v>48</v>
      </c>
      <c r="O23" s="63"/>
    </row>
    <row r="24" spans="1:15">
      <c r="B24" s="42"/>
      <c r="C24" s="278"/>
      <c r="D24" s="375"/>
      <c r="E24" s="42"/>
      <c r="F24" s="23"/>
      <c r="G24" s="64"/>
      <c r="H24" s="336"/>
      <c r="I24" s="336"/>
      <c r="J24" s="336"/>
      <c r="K24" s="343"/>
      <c r="L24" s="344"/>
      <c r="M24" s="336"/>
      <c r="N24" s="343"/>
      <c r="O24" s="63"/>
    </row>
    <row r="25" spans="1:15">
      <c r="B25" s="42"/>
      <c r="C25" s="278" t="s">
        <v>434</v>
      </c>
      <c r="D25" s="456">
        <f>LOOKUP(0.5*MATCH(D23,I39:I44,0),H39:H44,K39:K44)</f>
        <v>0</v>
      </c>
      <c r="E25" s="42"/>
      <c r="F25" s="23"/>
      <c r="G25" s="64"/>
      <c r="H25" s="331" t="s">
        <v>177</v>
      </c>
      <c r="I25" s="345">
        <v>260</v>
      </c>
      <c r="J25" s="331">
        <v>0.45</v>
      </c>
      <c r="K25" s="337" t="s">
        <v>43</v>
      </c>
      <c r="L25" s="338">
        <v>340</v>
      </c>
      <c r="M25" s="331">
        <v>0.45</v>
      </c>
      <c r="N25" s="337" t="s">
        <v>49</v>
      </c>
      <c r="O25" s="63"/>
    </row>
    <row r="26" spans="1:15">
      <c r="B26" s="42"/>
      <c r="C26" s="278"/>
      <c r="D26" s="369"/>
      <c r="E26" s="42"/>
      <c r="F26" s="23"/>
      <c r="G26" s="64"/>
      <c r="H26" s="336"/>
      <c r="I26" s="336"/>
      <c r="J26" s="336"/>
      <c r="K26" s="343"/>
      <c r="L26" s="344"/>
      <c r="M26" s="336"/>
      <c r="N26" s="343"/>
      <c r="O26" s="63"/>
    </row>
    <row r="27" spans="1:15">
      <c r="B27" s="42"/>
      <c r="C27" s="278" t="s">
        <v>429</v>
      </c>
      <c r="D27" s="456">
        <f>D21+D25</f>
        <v>300</v>
      </c>
      <c r="E27" s="42"/>
      <c r="F27" s="23"/>
      <c r="G27" s="64"/>
      <c r="H27" s="339" t="s">
        <v>50</v>
      </c>
      <c r="I27" s="346">
        <v>280</v>
      </c>
      <c r="J27" s="339">
        <v>0.4</v>
      </c>
      <c r="K27" s="340" t="s">
        <v>46</v>
      </c>
      <c r="L27" s="341">
        <v>360</v>
      </c>
      <c r="M27" s="339">
        <v>0.4</v>
      </c>
      <c r="N27" s="340" t="s">
        <v>51</v>
      </c>
      <c r="O27" s="63"/>
    </row>
    <row r="28" spans="1:15">
      <c r="B28" s="42"/>
      <c r="C28" s="278"/>
      <c r="D28" s="375"/>
      <c r="E28" s="42"/>
      <c r="F28" s="23"/>
      <c r="G28" s="64"/>
      <c r="H28" s="63"/>
      <c r="I28" s="63"/>
      <c r="J28" s="63"/>
      <c r="K28" s="63"/>
      <c r="L28" s="63"/>
      <c r="M28" s="63"/>
      <c r="N28" s="63"/>
      <c r="O28" s="63"/>
    </row>
    <row r="29" spans="1:15">
      <c r="B29" s="42"/>
      <c r="C29" s="278" t="s">
        <v>89</v>
      </c>
      <c r="D29" s="118">
        <f>IF(D15&gt;D27,D15,D27)</f>
        <v>394.32</v>
      </c>
      <c r="E29" s="42"/>
      <c r="F29" s="23"/>
      <c r="G29" s="23"/>
    </row>
    <row r="30" spans="1:15">
      <c r="B30" s="42"/>
      <c r="C30" s="278"/>
      <c r="D30" s="278"/>
      <c r="E30" s="42"/>
      <c r="F30" s="23"/>
      <c r="G30" s="23"/>
    </row>
    <row r="31" spans="1:15">
      <c r="B31" s="42"/>
      <c r="C31" s="629" t="s">
        <v>527</v>
      </c>
      <c r="D31" s="627">
        <f>'Water Content'!L35/'Cement Content'!D29</f>
        <v>0.5</v>
      </c>
      <c r="E31" s="42"/>
      <c r="F31" s="23"/>
      <c r="G31" s="23"/>
    </row>
    <row r="32" spans="1:15">
      <c r="B32" s="42"/>
      <c r="C32" s="630"/>
      <c r="D32" s="628"/>
      <c r="E32" s="42"/>
      <c r="F32" s="23"/>
      <c r="G32" s="44"/>
      <c r="H32" s="47"/>
      <c r="I32" s="47"/>
      <c r="J32" s="47"/>
      <c r="K32" s="47"/>
      <c r="L32" s="47"/>
      <c r="M32" s="47"/>
      <c r="N32" s="47"/>
      <c r="O32" s="47"/>
    </row>
    <row r="33" spans="2:15" ht="15" customHeight="1" thickBot="1">
      <c r="B33" s="42"/>
      <c r="C33" s="454"/>
      <c r="D33" s="454"/>
      <c r="E33" s="42"/>
      <c r="F33" s="23"/>
      <c r="G33" s="44"/>
      <c r="H33" s="639" t="s">
        <v>428</v>
      </c>
      <c r="I33" s="639"/>
      <c r="J33" s="639"/>
      <c r="K33" s="639"/>
      <c r="L33" s="639"/>
      <c r="M33" s="639"/>
      <c r="N33" s="639"/>
      <c r="O33" s="47"/>
    </row>
    <row r="34" spans="2:15" ht="15.75" customHeight="1" thickTop="1" thickBot="1">
      <c r="B34" s="23"/>
      <c r="C34" s="23"/>
      <c r="D34" s="23"/>
      <c r="E34" s="23"/>
      <c r="F34" s="23"/>
      <c r="G34" s="44"/>
      <c r="H34" s="639"/>
      <c r="I34" s="639"/>
      <c r="J34" s="639"/>
      <c r="K34" s="639"/>
      <c r="L34" s="639"/>
      <c r="M34" s="639"/>
      <c r="N34" s="639"/>
      <c r="O34" s="47"/>
    </row>
    <row r="35" spans="2:15" ht="15.75" thickTop="1">
      <c r="B35" s="42"/>
      <c r="C35" s="42"/>
      <c r="D35" s="82"/>
      <c r="E35" s="42"/>
      <c r="F35" s="23"/>
      <c r="G35" s="44"/>
      <c r="H35" s="43"/>
      <c r="I35" s="43"/>
      <c r="J35" s="43"/>
      <c r="K35" s="43"/>
      <c r="L35" s="66"/>
      <c r="M35" s="66"/>
      <c r="N35" s="66"/>
      <c r="O35" s="47"/>
    </row>
    <row r="36" spans="2:15" ht="15.75" thickBot="1">
      <c r="B36" s="42"/>
      <c r="C36" s="520" t="s">
        <v>96</v>
      </c>
      <c r="D36" s="520"/>
      <c r="E36" s="42"/>
      <c r="F36" s="23"/>
      <c r="G36" s="44"/>
      <c r="H36" s="279"/>
      <c r="I36" s="256"/>
      <c r="J36" s="266"/>
      <c r="K36" s="256"/>
      <c r="L36" s="366"/>
      <c r="M36" s="366"/>
      <c r="N36" s="367"/>
      <c r="O36" s="47"/>
    </row>
    <row r="37" spans="2:15" ht="16.5" thickTop="1" thickBot="1">
      <c r="B37" s="42"/>
      <c r="C37" s="520"/>
      <c r="D37" s="520"/>
      <c r="E37" s="42"/>
      <c r="F37" s="23"/>
      <c r="G37" s="44"/>
      <c r="H37" s="134" t="s">
        <v>427</v>
      </c>
      <c r="I37" s="640" t="s">
        <v>426</v>
      </c>
      <c r="J37" s="642"/>
      <c r="K37" s="640" t="s">
        <v>425</v>
      </c>
      <c r="L37" s="641"/>
      <c r="M37" s="641"/>
      <c r="N37" s="642"/>
      <c r="O37" s="47"/>
    </row>
    <row r="38" spans="2:15" ht="15.75" thickTop="1">
      <c r="B38" s="42"/>
      <c r="C38" s="83"/>
      <c r="D38" s="83"/>
      <c r="E38" s="42"/>
      <c r="F38" s="23"/>
      <c r="G38" s="44"/>
      <c r="H38" s="136"/>
      <c r="I38" s="637" t="s">
        <v>36</v>
      </c>
      <c r="J38" s="638"/>
      <c r="K38" s="637" t="s">
        <v>424</v>
      </c>
      <c r="L38" s="643"/>
      <c r="M38" s="643"/>
      <c r="N38" s="638"/>
      <c r="O38" s="47"/>
    </row>
    <row r="39" spans="2:15">
      <c r="B39" s="42"/>
      <c r="C39" s="42"/>
      <c r="D39" s="376"/>
      <c r="E39" s="42"/>
      <c r="F39" s="23"/>
      <c r="G39" s="44"/>
      <c r="H39" s="268"/>
      <c r="I39" s="256"/>
      <c r="J39" s="266"/>
      <c r="K39" s="256"/>
      <c r="L39" s="269"/>
      <c r="M39" s="269"/>
      <c r="N39" s="266"/>
      <c r="O39" s="47"/>
    </row>
    <row r="40" spans="2:15">
      <c r="B40" s="42"/>
      <c r="C40" s="232" t="s">
        <v>91</v>
      </c>
      <c r="D40" s="118">
        <f>IF(Master!E96="No","N/A",D29)</f>
        <v>394.32</v>
      </c>
      <c r="E40" s="42"/>
      <c r="G40" s="44"/>
      <c r="H40" s="134">
        <v>1</v>
      </c>
      <c r="I40" s="631">
        <v>10</v>
      </c>
      <c r="J40" s="633"/>
      <c r="K40" s="631">
        <v>40</v>
      </c>
      <c r="L40" s="632"/>
      <c r="M40" s="632"/>
      <c r="N40" s="633"/>
      <c r="O40" s="47"/>
    </row>
    <row r="41" spans="2:15">
      <c r="B41" s="42"/>
      <c r="C41" s="42"/>
      <c r="D41" s="454"/>
      <c r="E41" s="42"/>
      <c r="G41" s="44"/>
      <c r="H41" s="134"/>
      <c r="I41" s="368"/>
      <c r="J41" s="263"/>
      <c r="K41" s="368"/>
      <c r="L41" s="77"/>
      <c r="M41" s="77"/>
      <c r="N41" s="263"/>
      <c r="O41" s="47"/>
    </row>
    <row r="42" spans="2:15">
      <c r="B42" s="42"/>
      <c r="C42" s="278" t="s">
        <v>436</v>
      </c>
      <c r="D42" s="456">
        <f>IF(Master!E96="No","N/A",Master!E93)</f>
        <v>10</v>
      </c>
      <c r="E42" s="42"/>
      <c r="G42" s="47"/>
      <c r="H42" s="134">
        <v>2</v>
      </c>
      <c r="I42" s="631">
        <v>20</v>
      </c>
      <c r="J42" s="633"/>
      <c r="K42" s="631">
        <v>0</v>
      </c>
      <c r="L42" s="632"/>
      <c r="M42" s="632"/>
      <c r="N42" s="633"/>
      <c r="O42" s="47"/>
    </row>
    <row r="43" spans="2:15">
      <c r="B43" s="42"/>
      <c r="C43" s="232"/>
      <c r="D43" s="232"/>
      <c r="E43" s="42"/>
      <c r="G43" s="47"/>
      <c r="H43" s="134"/>
      <c r="I43" s="368"/>
      <c r="J43" s="263"/>
      <c r="K43" s="368"/>
      <c r="L43" s="77"/>
      <c r="M43" s="77"/>
      <c r="N43" s="263"/>
      <c r="O43" s="47"/>
    </row>
    <row r="44" spans="2:15">
      <c r="B44" s="42"/>
      <c r="C44" s="278" t="s">
        <v>437</v>
      </c>
      <c r="D44" s="118">
        <f>IF(Master!E96="No","N/A",IF((D29*(100+D42)/100)&gt;D21,(D29*(100+D42)/100),D21))</f>
        <v>433.75199999999995</v>
      </c>
      <c r="E44" s="42"/>
      <c r="G44" s="47"/>
      <c r="H44" s="261">
        <v>3</v>
      </c>
      <c r="I44" s="634">
        <v>40</v>
      </c>
      <c r="J44" s="636"/>
      <c r="K44" s="634">
        <v>-30</v>
      </c>
      <c r="L44" s="635"/>
      <c r="M44" s="635"/>
      <c r="N44" s="636"/>
      <c r="O44" s="47"/>
    </row>
    <row r="45" spans="2:15">
      <c r="B45" s="42"/>
      <c r="C45" s="42"/>
      <c r="D45" s="454"/>
      <c r="E45" s="42"/>
      <c r="G45" s="47"/>
      <c r="H45" s="47"/>
      <c r="I45" s="47"/>
      <c r="J45" s="47"/>
      <c r="K45" s="47"/>
      <c r="L45" s="47"/>
      <c r="M45" s="47"/>
      <c r="N45" s="47"/>
      <c r="O45" s="47"/>
    </row>
    <row r="46" spans="2:15">
      <c r="B46" s="42"/>
      <c r="C46" s="461" t="s">
        <v>525</v>
      </c>
      <c r="D46" s="627">
        <f>IF(D44="N/A",D31,'Water Content'!L35/'Cement Content'!D44)</f>
        <v>0.45454545454545459</v>
      </c>
      <c r="E46" s="42"/>
    </row>
    <row r="47" spans="2:15">
      <c r="B47" s="42"/>
      <c r="C47" s="462" t="s">
        <v>526</v>
      </c>
      <c r="D47" s="628"/>
      <c r="E47" s="42"/>
    </row>
    <row r="48" spans="2:15">
      <c r="B48" s="42"/>
      <c r="C48" s="42"/>
      <c r="D48" s="232"/>
      <c r="E48" s="42"/>
    </row>
    <row r="49" spans="2:5">
      <c r="B49" s="42"/>
      <c r="C49" s="232" t="s">
        <v>93</v>
      </c>
      <c r="D49" s="456">
        <f>IF(Master!E96="No","N/A",Master!E99)</f>
        <v>20</v>
      </c>
      <c r="E49" s="42"/>
    </row>
    <row r="50" spans="2:5">
      <c r="B50" s="42"/>
      <c r="C50" s="42"/>
      <c r="D50" s="232"/>
      <c r="E50" s="42"/>
    </row>
    <row r="51" spans="2:5">
      <c r="B51" s="42"/>
      <c r="C51" s="232" t="s">
        <v>94</v>
      </c>
      <c r="D51" s="118">
        <f>IF(Master!E96="No","N/A",D44*D49/100)</f>
        <v>86.750399999999985</v>
      </c>
      <c r="E51" s="42"/>
    </row>
    <row r="52" spans="2:5">
      <c r="B52" s="42"/>
      <c r="C52" s="42"/>
      <c r="D52" s="232"/>
      <c r="E52" s="42"/>
    </row>
    <row r="53" spans="2:5">
      <c r="B53" s="42"/>
      <c r="C53" s="232" t="s">
        <v>95</v>
      </c>
      <c r="D53" s="118">
        <f>IF(Master!E96="No","N/A",D44-D51)</f>
        <v>347.00159999999994</v>
      </c>
      <c r="E53" s="42"/>
    </row>
    <row r="54" spans="2:5">
      <c r="B54" s="42"/>
      <c r="C54" s="42"/>
      <c r="D54" s="42"/>
      <c r="E54" s="42"/>
    </row>
    <row r="55" spans="2:5">
      <c r="B55" s="23"/>
      <c r="C55" s="23"/>
      <c r="D55" s="23"/>
      <c r="E55" s="23"/>
    </row>
    <row r="56" spans="2:5">
      <c r="B56" s="23"/>
      <c r="C56" s="23"/>
      <c r="D56" s="23"/>
      <c r="E56" s="23"/>
    </row>
    <row r="57" spans="2:5">
      <c r="B57" s="23"/>
      <c r="C57" s="19"/>
      <c r="D57" s="19"/>
      <c r="E57" s="23"/>
    </row>
    <row r="58" spans="2:5">
      <c r="B58" s="23"/>
      <c r="E58" s="23"/>
    </row>
    <row r="59" spans="2:5">
      <c r="B59" s="23"/>
      <c r="E59" s="23"/>
    </row>
    <row r="60" spans="2:5">
      <c r="B60" s="23"/>
      <c r="C60" s="23"/>
      <c r="D60" s="23"/>
      <c r="E60" s="23"/>
    </row>
  </sheetData>
  <sheetProtection password="C08E" sheet="1" formatCells="0" formatColumns="0" formatRows="0" insertColumns="0" insertRows="0" insertHyperlinks="0" deleteColumns="0" deleteRows="0" sort="0" autoFilter="0" pivotTables="0"/>
  <mergeCells count="21">
    <mergeCell ref="H10:N11"/>
    <mergeCell ref="C36:D37"/>
    <mergeCell ref="C3:D4"/>
    <mergeCell ref="C5:D5"/>
    <mergeCell ref="C8:D9"/>
    <mergeCell ref="I13:K14"/>
    <mergeCell ref="L13:N14"/>
    <mergeCell ref="I37:J37"/>
    <mergeCell ref="D46:D47"/>
    <mergeCell ref="D31:D32"/>
    <mergeCell ref="C31:C32"/>
    <mergeCell ref="K42:N42"/>
    <mergeCell ref="K44:N44"/>
    <mergeCell ref="I42:J42"/>
    <mergeCell ref="I44:J44"/>
    <mergeCell ref="I38:J38"/>
    <mergeCell ref="I40:J40"/>
    <mergeCell ref="K40:N40"/>
    <mergeCell ref="H33:N34"/>
    <mergeCell ref="K37:N37"/>
    <mergeCell ref="K38:N38"/>
  </mergeCells>
  <conditionalFormatting sqref="D40 D42 D44 D46:D47 D49 D51 D53">
    <cfRule type="expression" dxfId="1" priority="2">
      <formula>"""IF(Master!$E$96=""""No"""")"""</formula>
    </cfRule>
  </conditionalFormatting>
  <conditionalFormatting sqref="D40 D42 D44 D49 D51 D53">
    <cfRule type="containsText" dxfId="0" priority="1" operator="containsText" text="N/A">
      <formula>NOT(ISERROR(SEARCH("N/A",D40)))</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Q40"/>
  <sheetViews>
    <sheetView topLeftCell="A12" workbookViewId="0">
      <selection activeCell="L28" sqref="L28"/>
    </sheetView>
  </sheetViews>
  <sheetFormatPr defaultRowHeight="15"/>
  <cols>
    <col min="1" max="1" width="4.7109375" style="24" customWidth="1"/>
    <col min="2" max="2" width="6.7109375" customWidth="1"/>
    <col min="3" max="3" width="11.5703125" customWidth="1"/>
    <col min="4" max="4" width="13.85546875" customWidth="1"/>
    <col min="5" max="5" width="17.85546875" customWidth="1"/>
    <col min="6" max="6" width="15.140625" customWidth="1"/>
    <col min="7" max="7" width="21" style="24" customWidth="1"/>
    <col min="9" max="10" width="9.140625" style="24"/>
    <col min="11" max="11" width="8.28515625" customWidth="1"/>
    <col min="12" max="12" width="14.28515625" customWidth="1"/>
    <col min="13" max="13" width="14.5703125" customWidth="1"/>
    <col min="14" max="14" width="20.28515625" customWidth="1"/>
    <col min="15" max="15" width="14.140625" customWidth="1"/>
    <col min="16" max="16" width="18.7109375" customWidth="1"/>
    <col min="17" max="17" width="7.7109375" customWidth="1"/>
  </cols>
  <sheetData>
    <row r="1" spans="1:17" s="24" customFormat="1"/>
    <row r="2" spans="1:17" s="24" customFormat="1" ht="15" customHeight="1">
      <c r="C2" s="496" t="s">
        <v>270</v>
      </c>
      <c r="D2" s="574"/>
      <c r="E2" s="574"/>
      <c r="F2" s="575"/>
    </row>
    <row r="3" spans="1:17" s="24" customFormat="1" ht="15" customHeight="1">
      <c r="C3" s="576"/>
      <c r="D3" s="577"/>
      <c r="E3" s="577"/>
      <c r="F3" s="578"/>
    </row>
    <row r="4" spans="1:17">
      <c r="C4" s="521" t="s">
        <v>272</v>
      </c>
      <c r="D4" s="522"/>
      <c r="E4" s="522"/>
      <c r="F4" s="523"/>
    </row>
    <row r="5" spans="1:17" s="24" customFormat="1">
      <c r="C5" s="32"/>
      <c r="D5" s="32"/>
      <c r="E5" s="32"/>
      <c r="F5" s="32"/>
    </row>
    <row r="6" spans="1:17" s="24" customFormat="1">
      <c r="B6" s="80"/>
      <c r="C6" s="85"/>
      <c r="D6" s="85"/>
      <c r="E6" s="85"/>
      <c r="F6" s="85"/>
      <c r="G6" s="80"/>
      <c r="H6" s="80"/>
      <c r="K6" s="63"/>
      <c r="L6" s="63"/>
      <c r="M6" s="63"/>
      <c r="N6" s="63"/>
      <c r="O6" s="63"/>
      <c r="P6" s="63"/>
      <c r="Q6" s="63"/>
    </row>
    <row r="7" spans="1:17" ht="15.75" customHeight="1" thickBot="1">
      <c r="B7" s="520" t="s">
        <v>386</v>
      </c>
      <c r="C7" s="520"/>
      <c r="D7" s="520"/>
      <c r="E7" s="520"/>
      <c r="F7" s="520"/>
      <c r="G7" s="520"/>
      <c r="H7" s="80"/>
      <c r="K7" s="520" t="s">
        <v>387</v>
      </c>
      <c r="L7" s="520"/>
      <c r="M7" s="520"/>
      <c r="N7" s="520"/>
      <c r="O7" s="520"/>
      <c r="P7" s="520"/>
      <c r="Q7" s="63"/>
    </row>
    <row r="8" spans="1:17" ht="16.5" customHeight="1" thickTop="1" thickBot="1">
      <c r="B8" s="520"/>
      <c r="C8" s="520"/>
      <c r="D8" s="520"/>
      <c r="E8" s="520"/>
      <c r="F8" s="520"/>
      <c r="G8" s="520"/>
      <c r="H8" s="80"/>
      <c r="K8" s="520"/>
      <c r="L8" s="520"/>
      <c r="M8" s="520"/>
      <c r="N8" s="520"/>
      <c r="O8" s="520"/>
      <c r="P8" s="520"/>
      <c r="Q8" s="63"/>
    </row>
    <row r="9" spans="1:17" ht="20.25" thickTop="1">
      <c r="B9" s="80"/>
      <c r="C9" s="183"/>
      <c r="D9" s="183"/>
      <c r="E9" s="183"/>
      <c r="F9" s="183"/>
      <c r="G9" s="183"/>
      <c r="H9" s="80"/>
      <c r="K9" s="63"/>
      <c r="L9" s="108"/>
      <c r="M9" s="108"/>
      <c r="N9" s="108"/>
      <c r="O9" s="201"/>
      <c r="P9" s="108"/>
      <c r="Q9" s="63"/>
    </row>
    <row r="10" spans="1:17" s="13" customFormat="1">
      <c r="A10" s="24"/>
      <c r="B10" s="80"/>
      <c r="C10" s="185" t="s">
        <v>108</v>
      </c>
      <c r="D10" s="188" t="s">
        <v>109</v>
      </c>
      <c r="E10" s="188" t="s">
        <v>111</v>
      </c>
      <c r="F10" s="188" t="s">
        <v>15</v>
      </c>
      <c r="G10" s="188" t="s">
        <v>15</v>
      </c>
      <c r="H10" s="80"/>
      <c r="I10" s="24"/>
      <c r="J10" s="24"/>
      <c r="K10" s="63"/>
      <c r="L10" s="198" t="s">
        <v>108</v>
      </c>
      <c r="M10" s="198" t="s">
        <v>109</v>
      </c>
      <c r="N10" s="198" t="s">
        <v>111</v>
      </c>
      <c r="O10" s="195" t="s">
        <v>15</v>
      </c>
      <c r="P10" s="195" t="s">
        <v>15</v>
      </c>
      <c r="Q10" s="63"/>
    </row>
    <row r="11" spans="1:17">
      <c r="B11" s="80"/>
      <c r="C11" s="186" t="s">
        <v>36</v>
      </c>
      <c r="D11" s="189" t="s">
        <v>110</v>
      </c>
      <c r="E11" s="189" t="s">
        <v>110</v>
      </c>
      <c r="F11" s="189" t="s">
        <v>215</v>
      </c>
      <c r="G11" s="189" t="s">
        <v>240</v>
      </c>
      <c r="H11" s="80"/>
      <c r="K11" s="63"/>
      <c r="L11" s="199" t="s">
        <v>36</v>
      </c>
      <c r="M11" s="199" t="s">
        <v>110</v>
      </c>
      <c r="N11" s="199" t="s">
        <v>110</v>
      </c>
      <c r="O11" s="196" t="s">
        <v>215</v>
      </c>
      <c r="P11" s="196" t="s">
        <v>240</v>
      </c>
      <c r="Q11" s="63"/>
    </row>
    <row r="12" spans="1:17" s="13" customFormat="1">
      <c r="A12" s="24"/>
      <c r="B12" s="80"/>
      <c r="C12" s="187"/>
      <c r="D12" s="192" t="s">
        <v>243</v>
      </c>
      <c r="E12" s="192" t="s">
        <v>243</v>
      </c>
      <c r="F12" s="192"/>
      <c r="G12" s="192"/>
      <c r="H12" s="80"/>
      <c r="I12" s="24"/>
      <c r="J12" s="24"/>
      <c r="K12" s="63"/>
      <c r="L12" s="200"/>
      <c r="M12" s="200" t="s">
        <v>243</v>
      </c>
      <c r="N12" s="200" t="s">
        <v>243</v>
      </c>
      <c r="O12" s="202"/>
      <c r="P12" s="197"/>
      <c r="Q12" s="63"/>
    </row>
    <row r="13" spans="1:17">
      <c r="B13" s="80"/>
      <c r="C13" s="185"/>
      <c r="D13" s="189"/>
      <c r="E13" s="189"/>
      <c r="F13" s="189"/>
      <c r="G13" s="189"/>
      <c r="H13" s="80"/>
      <c r="K13" s="63"/>
      <c r="L13" s="198"/>
      <c r="M13" s="198"/>
      <c r="N13" s="198"/>
      <c r="O13" s="198"/>
      <c r="P13" s="205"/>
      <c r="Q13" s="63"/>
    </row>
    <row r="14" spans="1:17">
      <c r="B14" s="80"/>
      <c r="C14" s="186">
        <v>10</v>
      </c>
      <c r="D14" s="189">
        <f>Master!D120</f>
        <v>0</v>
      </c>
      <c r="E14" s="189">
        <f>D14</f>
        <v>0</v>
      </c>
      <c r="F14" s="193">
        <f>(E14/E26)*100</f>
        <v>0</v>
      </c>
      <c r="G14" s="193">
        <f>100-F14</f>
        <v>100</v>
      </c>
      <c r="H14" s="80"/>
      <c r="K14" s="63"/>
      <c r="L14" s="199">
        <v>80</v>
      </c>
      <c r="M14" s="199">
        <f>Tests!O46</f>
        <v>0</v>
      </c>
      <c r="N14" s="199">
        <f>M14</f>
        <v>0</v>
      </c>
      <c r="O14" s="203">
        <f>(N14/$E$26)*100</f>
        <v>0</v>
      </c>
      <c r="P14" s="203">
        <f>100-O14</f>
        <v>100</v>
      </c>
      <c r="Q14" s="63"/>
    </row>
    <row r="15" spans="1:17">
      <c r="B15" s="80"/>
      <c r="C15" s="186"/>
      <c r="D15" s="189"/>
      <c r="E15" s="189"/>
      <c r="F15" s="193"/>
      <c r="G15" s="193"/>
      <c r="H15" s="80"/>
      <c r="K15" s="63"/>
      <c r="L15" s="199"/>
      <c r="M15" s="199"/>
      <c r="N15" s="199"/>
      <c r="O15" s="203"/>
      <c r="P15" s="203"/>
      <c r="Q15" s="63"/>
    </row>
    <row r="16" spans="1:17">
      <c r="B16" s="80"/>
      <c r="C16" s="186">
        <v>4.75</v>
      </c>
      <c r="D16" s="189">
        <f>Tests!O64</f>
        <v>0</v>
      </c>
      <c r="E16" s="189">
        <f>D14+D16</f>
        <v>0</v>
      </c>
      <c r="F16" s="193">
        <f>(E16/E26)*100</f>
        <v>0</v>
      </c>
      <c r="G16" s="193">
        <f t="shared" ref="G16:G26" si="0">100-F16</f>
        <v>100</v>
      </c>
      <c r="H16" s="80"/>
      <c r="K16" s="63"/>
      <c r="L16" s="199">
        <v>40</v>
      </c>
      <c r="M16" s="199">
        <f>Tests!O48</f>
        <v>0</v>
      </c>
      <c r="N16" s="199">
        <f>N14+M16</f>
        <v>0</v>
      </c>
      <c r="O16" s="203">
        <f>100*N16/$N$32</f>
        <v>0</v>
      </c>
      <c r="P16" s="203">
        <f t="shared" ref="P16:P32" si="1">100-O16</f>
        <v>100</v>
      </c>
      <c r="Q16" s="63"/>
    </row>
    <row r="17" spans="1:17">
      <c r="B17" s="80"/>
      <c r="C17" s="186"/>
      <c r="D17" s="189"/>
      <c r="E17" s="189"/>
      <c r="F17" s="193"/>
      <c r="G17" s="193"/>
      <c r="H17" s="80"/>
      <c r="K17" s="63"/>
      <c r="L17" s="199"/>
      <c r="M17" s="199"/>
      <c r="N17" s="199"/>
      <c r="O17" s="203"/>
      <c r="P17" s="203"/>
      <c r="Q17" s="63"/>
    </row>
    <row r="18" spans="1:17">
      <c r="B18" s="80"/>
      <c r="C18" s="186">
        <v>2.36</v>
      </c>
      <c r="D18" s="189">
        <f>Tests!O66</f>
        <v>0.7</v>
      </c>
      <c r="E18" s="189">
        <f>E16+D18</f>
        <v>0.7</v>
      </c>
      <c r="F18" s="193">
        <f>(E18/$E$26)*100</f>
        <v>23.333333333333332</v>
      </c>
      <c r="G18" s="193">
        <f t="shared" si="0"/>
        <v>76.666666666666671</v>
      </c>
      <c r="H18" s="80"/>
      <c r="K18" s="63"/>
      <c r="L18" s="199">
        <v>20</v>
      </c>
      <c r="M18" s="199">
        <f>Tests!O50</f>
        <v>0</v>
      </c>
      <c r="N18" s="199">
        <f>N16+M18</f>
        <v>0</v>
      </c>
      <c r="O18" s="203">
        <f>100*N18/$N$32</f>
        <v>0</v>
      </c>
      <c r="P18" s="203">
        <f t="shared" si="1"/>
        <v>100</v>
      </c>
      <c r="Q18" s="63"/>
    </row>
    <row r="19" spans="1:17">
      <c r="B19" s="80"/>
      <c r="C19" s="186"/>
      <c r="D19" s="189"/>
      <c r="E19" s="189"/>
      <c r="F19" s="193"/>
      <c r="G19" s="193"/>
      <c r="H19" s="80"/>
      <c r="K19" s="63"/>
      <c r="L19" s="199"/>
      <c r="M19" s="199"/>
      <c r="N19" s="199"/>
      <c r="O19" s="203"/>
      <c r="P19" s="203"/>
      <c r="Q19" s="63"/>
    </row>
    <row r="20" spans="1:17">
      <c r="B20" s="80"/>
      <c r="C20" s="186">
        <v>1.18</v>
      </c>
      <c r="D20" s="189">
        <f>Tests!O68</f>
        <v>0.7</v>
      </c>
      <c r="E20" s="189">
        <f>E18+D20</f>
        <v>1.4</v>
      </c>
      <c r="F20" s="193">
        <f>(E20/$E$26)*100</f>
        <v>46.666666666666664</v>
      </c>
      <c r="G20" s="193">
        <f t="shared" si="0"/>
        <v>53.333333333333336</v>
      </c>
      <c r="H20" s="80"/>
      <c r="K20" s="63"/>
      <c r="L20" s="199">
        <v>10</v>
      </c>
      <c r="M20" s="199">
        <f>Tests!O52</f>
        <v>5.5</v>
      </c>
      <c r="N20" s="199">
        <f>N18+M20</f>
        <v>5.5</v>
      </c>
      <c r="O20" s="203">
        <f>100*N20/$N$32</f>
        <v>78.571428571428569</v>
      </c>
      <c r="P20" s="203">
        <f t="shared" si="1"/>
        <v>21.428571428571431</v>
      </c>
      <c r="Q20" s="63"/>
    </row>
    <row r="21" spans="1:17">
      <c r="B21" s="80"/>
      <c r="C21" s="186"/>
      <c r="D21" s="189"/>
      <c r="E21" s="189"/>
      <c r="F21" s="193"/>
      <c r="G21" s="193"/>
      <c r="H21" s="80"/>
      <c r="K21" s="63"/>
      <c r="L21" s="199"/>
      <c r="M21" s="199"/>
      <c r="N21" s="199"/>
      <c r="O21" s="203"/>
      <c r="P21" s="203"/>
      <c r="Q21" s="63"/>
    </row>
    <row r="22" spans="1:17">
      <c r="B22" s="80"/>
      <c r="C22" s="186">
        <v>0.6</v>
      </c>
      <c r="D22" s="189">
        <f>Tests!O70</f>
        <v>0.7</v>
      </c>
      <c r="E22" s="189">
        <f>E20+D22</f>
        <v>2.0999999999999996</v>
      </c>
      <c r="F22" s="193">
        <f>(E22/$E$26)*100</f>
        <v>69.999999999999986</v>
      </c>
      <c r="G22" s="193">
        <f t="shared" si="0"/>
        <v>30.000000000000014</v>
      </c>
      <c r="H22" s="80"/>
      <c r="K22" s="63"/>
      <c r="L22" s="199">
        <v>4.75</v>
      </c>
      <c r="M22" s="199">
        <f>Tests!O54</f>
        <v>1.5</v>
      </c>
      <c r="N22" s="199">
        <f>N20+M22</f>
        <v>7</v>
      </c>
      <c r="O22" s="203">
        <f>100*N22/$N$32</f>
        <v>100</v>
      </c>
      <c r="P22" s="203">
        <f t="shared" si="1"/>
        <v>0</v>
      </c>
      <c r="Q22" s="63"/>
    </row>
    <row r="23" spans="1:17">
      <c r="B23" s="80"/>
      <c r="C23" s="186"/>
      <c r="D23" s="189"/>
      <c r="E23" s="189"/>
      <c r="F23" s="193"/>
      <c r="G23" s="193"/>
      <c r="H23" s="80"/>
      <c r="K23" s="63"/>
      <c r="L23" s="199"/>
      <c r="M23" s="199"/>
      <c r="N23" s="199"/>
      <c r="O23" s="203"/>
      <c r="P23" s="203"/>
      <c r="Q23" s="63"/>
    </row>
    <row r="24" spans="1:17" s="13" customFormat="1">
      <c r="A24" s="24"/>
      <c r="B24" s="80"/>
      <c r="C24" s="186">
        <v>0.3</v>
      </c>
      <c r="D24" s="189">
        <f>Tests!O72</f>
        <v>0.7</v>
      </c>
      <c r="E24" s="189">
        <f>E22+D24</f>
        <v>2.8</v>
      </c>
      <c r="F24" s="193">
        <f>(E24/$E$26)*100</f>
        <v>93.333333333333329</v>
      </c>
      <c r="G24" s="193">
        <f t="shared" si="0"/>
        <v>6.6666666666666714</v>
      </c>
      <c r="H24" s="80"/>
      <c r="I24" s="24"/>
      <c r="J24" s="24"/>
      <c r="K24" s="63"/>
      <c r="L24" s="199">
        <v>2.36</v>
      </c>
      <c r="M24" s="199"/>
      <c r="N24" s="199">
        <f>N22+M24</f>
        <v>7</v>
      </c>
      <c r="O24" s="203">
        <f>100*N24/$N$32</f>
        <v>100</v>
      </c>
      <c r="P24" s="203">
        <f t="shared" si="1"/>
        <v>0</v>
      </c>
      <c r="Q24" s="63"/>
    </row>
    <row r="25" spans="1:17">
      <c r="B25" s="80"/>
      <c r="C25" s="186"/>
      <c r="D25" s="189"/>
      <c r="E25" s="189"/>
      <c r="F25" s="193"/>
      <c r="G25" s="193"/>
      <c r="H25" s="80"/>
      <c r="K25" s="63"/>
      <c r="L25" s="199"/>
      <c r="M25" s="199"/>
      <c r="N25" s="199"/>
      <c r="O25" s="203"/>
      <c r="P25" s="203"/>
      <c r="Q25" s="63"/>
    </row>
    <row r="26" spans="1:17">
      <c r="B26" s="80"/>
      <c r="C26" s="186">
        <v>0.15</v>
      </c>
      <c r="D26" s="189">
        <f>Tests!O74</f>
        <v>0.2</v>
      </c>
      <c r="E26" s="189">
        <f>E24+D26</f>
        <v>3</v>
      </c>
      <c r="F26" s="193">
        <f>(E26/$E$26)*100</f>
        <v>100</v>
      </c>
      <c r="G26" s="193">
        <f t="shared" si="0"/>
        <v>0</v>
      </c>
      <c r="H26" s="80"/>
      <c r="K26" s="63"/>
      <c r="L26" s="199">
        <v>1.18</v>
      </c>
      <c r="M26" s="199"/>
      <c r="N26" s="199">
        <f>N24+M26</f>
        <v>7</v>
      </c>
      <c r="O26" s="203">
        <f>100*N26/$N$32</f>
        <v>100</v>
      </c>
      <c r="P26" s="203">
        <f t="shared" si="1"/>
        <v>0</v>
      </c>
      <c r="Q26" s="63"/>
    </row>
    <row r="27" spans="1:17">
      <c r="B27" s="80"/>
      <c r="C27" s="191"/>
      <c r="D27" s="190"/>
      <c r="E27" s="190"/>
      <c r="F27" s="190"/>
      <c r="G27" s="194"/>
      <c r="H27" s="80"/>
      <c r="K27" s="63"/>
      <c r="L27" s="199"/>
      <c r="M27" s="199"/>
      <c r="N27" s="199"/>
      <c r="O27" s="203"/>
      <c r="P27" s="203"/>
      <c r="Q27" s="63"/>
    </row>
    <row r="28" spans="1:17">
      <c r="B28" s="80"/>
      <c r="C28" s="80"/>
      <c r="D28" s="80"/>
      <c r="E28" s="653" t="s">
        <v>112</v>
      </c>
      <c r="F28" s="655">
        <f>SUM(F14:F26)</f>
        <v>333.33333333333331</v>
      </c>
      <c r="G28" s="80"/>
      <c r="H28" s="80"/>
      <c r="K28" s="63"/>
      <c r="L28" s="199">
        <v>0.6</v>
      </c>
      <c r="M28" s="199"/>
      <c r="N28" s="199">
        <f>N26+M28</f>
        <v>7</v>
      </c>
      <c r="O28" s="203">
        <f>100*N28/$N$32</f>
        <v>100</v>
      </c>
      <c r="P28" s="203">
        <f t="shared" si="1"/>
        <v>0</v>
      </c>
      <c r="Q28" s="63"/>
    </row>
    <row r="29" spans="1:17">
      <c r="B29" s="80"/>
      <c r="C29" s="80"/>
      <c r="D29" s="80"/>
      <c r="E29" s="654"/>
      <c r="F29" s="656"/>
      <c r="G29" s="80"/>
      <c r="H29" s="80"/>
      <c r="K29" s="63"/>
      <c r="L29" s="199"/>
      <c r="M29" s="199"/>
      <c r="N29" s="199"/>
      <c r="O29" s="203"/>
      <c r="P29" s="203"/>
      <c r="Q29" s="63"/>
    </row>
    <row r="30" spans="1:17">
      <c r="B30" s="80"/>
      <c r="C30" s="80"/>
      <c r="D30" s="80"/>
      <c r="E30" s="80"/>
      <c r="F30" s="80"/>
      <c r="G30" s="80"/>
      <c r="H30" s="80"/>
      <c r="K30" s="63"/>
      <c r="L30" s="199">
        <v>0.3</v>
      </c>
      <c r="M30" s="199"/>
      <c r="N30" s="199">
        <f>N28+M30</f>
        <v>7</v>
      </c>
      <c r="O30" s="203">
        <f>100*N30/$N$32</f>
        <v>100</v>
      </c>
      <c r="P30" s="203">
        <f t="shared" si="1"/>
        <v>0</v>
      </c>
      <c r="Q30" s="63"/>
    </row>
    <row r="31" spans="1:17">
      <c r="B31" s="80"/>
      <c r="C31" s="80"/>
      <c r="D31" s="519" t="s">
        <v>242</v>
      </c>
      <c r="E31" s="660"/>
      <c r="F31" s="651">
        <f>F28/100</f>
        <v>3.333333333333333</v>
      </c>
      <c r="G31" s="80"/>
      <c r="H31" s="80"/>
      <c r="K31" s="63"/>
      <c r="L31" s="199"/>
      <c r="M31" s="199"/>
      <c r="N31" s="199"/>
      <c r="O31" s="203"/>
      <c r="P31" s="203"/>
      <c r="Q31" s="63"/>
    </row>
    <row r="32" spans="1:17">
      <c r="B32" s="80"/>
      <c r="C32" s="80"/>
      <c r="D32" s="519"/>
      <c r="E32" s="660"/>
      <c r="F32" s="652"/>
      <c r="G32" s="80"/>
      <c r="H32" s="80"/>
      <c r="I32" s="26"/>
      <c r="J32" s="26"/>
      <c r="K32" s="64"/>
      <c r="L32" s="199">
        <v>0.15</v>
      </c>
      <c r="M32" s="199"/>
      <c r="N32" s="199">
        <f>N30+M32</f>
        <v>7</v>
      </c>
      <c r="O32" s="203">
        <f>100*N32/$N$32</f>
        <v>100</v>
      </c>
      <c r="P32" s="203">
        <f t="shared" si="1"/>
        <v>0</v>
      </c>
      <c r="Q32" s="63"/>
    </row>
    <row r="33" spans="2:17">
      <c r="B33" s="80"/>
      <c r="C33" s="80"/>
      <c r="D33" s="80"/>
      <c r="E33" s="80"/>
      <c r="F33" s="80"/>
      <c r="G33" s="184"/>
      <c r="H33" s="80"/>
      <c r="K33" s="63"/>
      <c r="L33" s="200"/>
      <c r="M33" s="200"/>
      <c r="N33" s="200"/>
      <c r="O33" s="204"/>
      <c r="P33" s="204"/>
      <c r="Q33" s="63"/>
    </row>
    <row r="34" spans="2:17">
      <c r="G34" s="30"/>
      <c r="K34" s="63"/>
      <c r="L34" s="64"/>
      <c r="M34" s="64"/>
      <c r="N34" s="616" t="s">
        <v>112</v>
      </c>
      <c r="O34" s="658">
        <f>SUM(O14:O32)</f>
        <v>678.57142857142856</v>
      </c>
      <c r="P34" s="64"/>
      <c r="Q34" s="63"/>
    </row>
    <row r="35" spans="2:17">
      <c r="K35" s="63"/>
      <c r="L35" s="64"/>
      <c r="M35" s="64"/>
      <c r="N35" s="657"/>
      <c r="O35" s="659"/>
      <c r="P35" s="64"/>
      <c r="Q35" s="63"/>
    </row>
    <row r="36" spans="2:17">
      <c r="K36" s="63"/>
      <c r="L36" s="64"/>
      <c r="M36" s="64"/>
      <c r="N36" s="64"/>
      <c r="O36" s="64"/>
      <c r="P36" s="64"/>
      <c r="Q36" s="63"/>
    </row>
    <row r="37" spans="2:17">
      <c r="K37" s="63"/>
      <c r="L37" s="64"/>
      <c r="M37" s="519" t="s">
        <v>241</v>
      </c>
      <c r="N37" s="519"/>
      <c r="O37" s="650">
        <f>O34/100</f>
        <v>6.7857142857142856</v>
      </c>
      <c r="P37" s="64"/>
      <c r="Q37" s="63"/>
    </row>
    <row r="38" spans="2:17">
      <c r="K38" s="63"/>
      <c r="L38" s="64"/>
      <c r="M38" s="519"/>
      <c r="N38" s="519"/>
      <c r="O38" s="650"/>
      <c r="P38" s="64"/>
      <c r="Q38" s="63"/>
    </row>
    <row r="39" spans="2:17">
      <c r="K39" s="63"/>
      <c r="L39" s="64"/>
      <c r="M39" s="64"/>
      <c r="N39" s="64"/>
      <c r="O39" s="64"/>
      <c r="P39" s="64"/>
      <c r="Q39" s="63"/>
    </row>
    <row r="40" spans="2:17">
      <c r="K40" s="19"/>
      <c r="L40" s="19"/>
      <c r="M40" s="19"/>
      <c r="N40" s="19"/>
      <c r="O40" s="19"/>
      <c r="P40" s="19"/>
      <c r="Q40" s="19"/>
    </row>
  </sheetData>
  <sheetProtection password="C08E" sheet="1" formatCells="0" formatColumns="0" formatRows="0" insertColumns="0" insertRows="0" insertHyperlinks="0" deleteColumns="0" deleteRows="0" sort="0" autoFilter="0" pivotTables="0"/>
  <mergeCells count="12">
    <mergeCell ref="B7:G8"/>
    <mergeCell ref="K7:P8"/>
    <mergeCell ref="O37:O38"/>
    <mergeCell ref="C2:F3"/>
    <mergeCell ref="C4:F4"/>
    <mergeCell ref="F31:F32"/>
    <mergeCell ref="M37:N38"/>
    <mergeCell ref="E28:E29"/>
    <mergeCell ref="F28:F29"/>
    <mergeCell ref="N34:N35"/>
    <mergeCell ref="O34:O35"/>
    <mergeCell ref="D31:E32"/>
  </mergeCells>
  <pageMargins left="0.7" right="0.7" top="0.75" bottom="0.75" header="0.3" footer="0.3"/>
  <pageSetup paperSize="9" orientation="portrait" horizontalDpi="4294967293" verticalDpi="4294967293" r:id="rId1"/>
</worksheet>
</file>

<file path=xl/worksheets/sheet9.xml><?xml version="1.0" encoding="utf-8"?>
<worksheet xmlns="http://schemas.openxmlformats.org/spreadsheetml/2006/main" xmlns:r="http://schemas.openxmlformats.org/officeDocument/2006/relationships">
  <sheetPr codeName="Sheet7"/>
  <dimension ref="A2:AA27"/>
  <sheetViews>
    <sheetView topLeftCell="A6" workbookViewId="0">
      <selection activeCell="F25" sqref="F25"/>
    </sheetView>
  </sheetViews>
  <sheetFormatPr defaultRowHeight="15"/>
  <cols>
    <col min="1" max="1" width="6.140625" style="24" customWidth="1"/>
    <col min="2" max="2" width="6.85546875" style="13" customWidth="1"/>
    <col min="3" max="3" width="25.28515625" style="13" customWidth="1"/>
    <col min="4" max="4" width="22.28515625" style="13" customWidth="1"/>
    <col min="5" max="5" width="7.140625" style="24" customWidth="1"/>
    <col min="6" max="6" width="11.7109375" style="13" customWidth="1"/>
    <col min="7" max="7" width="4.140625" style="13" customWidth="1"/>
    <col min="8" max="8" width="26" style="14" customWidth="1"/>
    <col min="9" max="9" width="10.85546875" style="13" customWidth="1"/>
    <col min="10" max="10" width="9.28515625" style="13" customWidth="1"/>
    <col min="11" max="11" width="5" style="13" customWidth="1"/>
    <col min="12" max="12" width="9.28515625" style="13" customWidth="1"/>
    <col min="13" max="13" width="9" style="13" customWidth="1"/>
    <col min="14" max="14" width="5" style="13" customWidth="1"/>
    <col min="15" max="15" width="8.28515625" style="13" customWidth="1"/>
    <col min="16" max="16" width="8.5703125" style="13" customWidth="1"/>
    <col min="17" max="17" width="4.85546875" style="13" customWidth="1"/>
    <col min="18" max="19" width="9.140625" style="13"/>
    <col min="20" max="20" width="4.85546875" style="13" customWidth="1"/>
    <col min="21" max="21" width="9.140625" style="13"/>
    <col min="22" max="22" width="11.5703125" style="13" customWidth="1"/>
    <col min="23" max="23" width="21.42578125" style="13" customWidth="1"/>
    <col min="24" max="24" width="18.140625" style="13" customWidth="1"/>
    <col min="25" max="25" width="13.85546875" style="13" customWidth="1"/>
    <col min="26" max="26" width="21.5703125" style="13" customWidth="1"/>
    <col min="27" max="16384" width="9.140625" style="13"/>
  </cols>
  <sheetData>
    <row r="2" spans="2:27" s="24" customFormat="1" ht="15" customHeight="1">
      <c r="C2" s="496" t="s">
        <v>270</v>
      </c>
      <c r="D2" s="574"/>
      <c r="E2" s="574"/>
      <c r="F2" s="574"/>
      <c r="G2" s="574"/>
      <c r="H2" s="575"/>
    </row>
    <row r="3" spans="2:27" s="24" customFormat="1" ht="15" customHeight="1">
      <c r="C3" s="576"/>
      <c r="D3" s="577"/>
      <c r="E3" s="577"/>
      <c r="F3" s="577"/>
      <c r="G3" s="577"/>
      <c r="H3" s="578"/>
    </row>
    <row r="4" spans="2:27" s="24" customFormat="1">
      <c r="C4" s="521" t="s">
        <v>273</v>
      </c>
      <c r="D4" s="522"/>
      <c r="E4" s="522"/>
      <c r="F4" s="522"/>
      <c r="G4" s="522"/>
      <c r="H4" s="670"/>
    </row>
    <row r="5" spans="2:27" s="24" customFormat="1">
      <c r="C5" s="32"/>
      <c r="D5" s="32"/>
      <c r="E5" s="32"/>
      <c r="F5" s="32"/>
      <c r="G5" s="32"/>
      <c r="H5" s="34"/>
    </row>
    <row r="6" spans="2:27">
      <c r="B6" s="96"/>
      <c r="C6" s="96"/>
      <c r="D6" s="96"/>
      <c r="E6" s="96"/>
      <c r="G6" s="63"/>
      <c r="H6" s="68"/>
      <c r="I6" s="63"/>
      <c r="J6" s="63"/>
      <c r="K6" s="63"/>
      <c r="L6" s="63"/>
      <c r="M6" s="63"/>
      <c r="N6" s="63"/>
      <c r="O6" s="63"/>
      <c r="P6" s="63"/>
      <c r="Q6" s="63"/>
      <c r="R6" s="63"/>
      <c r="S6" s="63"/>
      <c r="T6" s="63"/>
    </row>
    <row r="7" spans="2:27" ht="15" customHeight="1" thickBot="1">
      <c r="B7" s="672" t="s">
        <v>393</v>
      </c>
      <c r="C7" s="672"/>
      <c r="D7" s="672"/>
      <c r="E7" s="96"/>
      <c r="F7" s="24"/>
      <c r="G7" s="671" t="s">
        <v>391</v>
      </c>
      <c r="H7" s="671"/>
      <c r="I7" s="671"/>
      <c r="J7" s="671"/>
      <c r="K7" s="63"/>
      <c r="L7" s="63"/>
      <c r="M7" s="63"/>
      <c r="N7" s="63"/>
      <c r="O7" s="63"/>
      <c r="P7" s="63"/>
      <c r="Q7" s="63"/>
      <c r="R7" s="63"/>
      <c r="S7" s="63"/>
      <c r="T7" s="63"/>
      <c r="W7" s="14"/>
    </row>
    <row r="8" spans="2:27" ht="15.75" customHeight="1" thickTop="1" thickBot="1">
      <c r="B8" s="520"/>
      <c r="C8" s="520"/>
      <c r="D8" s="520"/>
      <c r="E8" s="218"/>
      <c r="F8" s="24"/>
      <c r="G8" s="671"/>
      <c r="H8" s="671"/>
      <c r="I8" s="671"/>
      <c r="J8" s="671"/>
      <c r="K8" s="63"/>
      <c r="L8" s="63"/>
      <c r="M8" s="63"/>
      <c r="N8" s="63"/>
      <c r="O8" s="63"/>
      <c r="P8" s="63"/>
      <c r="Q8" s="63"/>
      <c r="R8" s="63"/>
      <c r="S8" s="63"/>
      <c r="T8" s="63"/>
      <c r="W8" s="28"/>
      <c r="X8" s="10"/>
      <c r="Z8" s="23"/>
      <c r="AA8" s="23"/>
    </row>
    <row r="9" spans="2:27" ht="15" customHeight="1" thickTop="1">
      <c r="B9" s="96"/>
      <c r="C9" s="673" t="s">
        <v>97</v>
      </c>
      <c r="D9" s="673" t="s">
        <v>98</v>
      </c>
      <c r="E9" s="96"/>
      <c r="F9" s="24"/>
      <c r="G9" s="63"/>
      <c r="H9" s="215"/>
      <c r="I9" s="108"/>
      <c r="J9" s="108"/>
      <c r="K9" s="63"/>
      <c r="L9" s="63"/>
      <c r="M9" s="63"/>
      <c r="N9" s="63"/>
      <c r="O9" s="63"/>
      <c r="P9" s="63"/>
      <c r="Q9" s="63"/>
      <c r="R9" s="63"/>
      <c r="S9" s="63"/>
      <c r="T9" s="63"/>
      <c r="W9" s="28"/>
      <c r="X9" s="29"/>
    </row>
    <row r="10" spans="2:27" ht="15.75" customHeight="1">
      <c r="B10" s="96"/>
      <c r="C10" s="675"/>
      <c r="D10" s="674"/>
      <c r="E10" s="96"/>
      <c r="F10" s="11"/>
      <c r="G10" s="216"/>
      <c r="H10" s="68"/>
      <c r="I10" s="667" t="s">
        <v>17</v>
      </c>
      <c r="J10" s="668"/>
      <c r="K10" s="668"/>
      <c r="L10" s="668"/>
      <c r="M10" s="668"/>
      <c r="N10" s="668"/>
      <c r="O10" s="668"/>
      <c r="P10" s="668"/>
      <c r="Q10" s="668"/>
      <c r="R10" s="668"/>
      <c r="S10" s="669"/>
      <c r="T10" s="63"/>
      <c r="W10" s="28"/>
      <c r="X10" s="29"/>
      <c r="Y10" s="17"/>
    </row>
    <row r="11" spans="2:27">
      <c r="B11" s="96"/>
      <c r="C11" s="207">
        <v>10</v>
      </c>
      <c r="D11" s="118">
        <f>'FA-FM Calc.'!G14</f>
        <v>100</v>
      </c>
      <c r="E11" s="96"/>
      <c r="G11" s="216"/>
      <c r="H11" s="196" t="s">
        <v>16</v>
      </c>
      <c r="I11" s="667" t="s">
        <v>291</v>
      </c>
      <c r="J11" s="669"/>
      <c r="K11" s="64"/>
      <c r="L11" s="667" t="s">
        <v>292</v>
      </c>
      <c r="M11" s="669"/>
      <c r="N11" s="64"/>
      <c r="O11" s="667" t="s">
        <v>293</v>
      </c>
      <c r="P11" s="669"/>
      <c r="Q11" s="64"/>
      <c r="R11" s="667" t="s">
        <v>294</v>
      </c>
      <c r="S11" s="669"/>
      <c r="T11" s="63"/>
      <c r="W11" s="28"/>
      <c r="X11" s="29"/>
      <c r="Y11" s="17"/>
      <c r="AA11" s="17"/>
    </row>
    <row r="12" spans="2:27">
      <c r="B12" s="96"/>
      <c r="C12" s="207">
        <v>4.75</v>
      </c>
      <c r="D12" s="118">
        <f>'FA-FM Calc.'!G16</f>
        <v>100</v>
      </c>
      <c r="E12" s="96"/>
      <c r="G12" s="216"/>
      <c r="H12" s="202"/>
      <c r="I12" s="213" t="s">
        <v>100</v>
      </c>
      <c r="J12" s="213" t="s">
        <v>99</v>
      </c>
      <c r="K12" s="68"/>
      <c r="L12" s="213" t="s">
        <v>100</v>
      </c>
      <c r="M12" s="213" t="s">
        <v>99</v>
      </c>
      <c r="N12" s="68"/>
      <c r="O12" s="213" t="s">
        <v>100</v>
      </c>
      <c r="P12" s="213" t="s">
        <v>99</v>
      </c>
      <c r="Q12" s="68"/>
      <c r="R12" s="213" t="s">
        <v>100</v>
      </c>
      <c r="S12" s="388" t="s">
        <v>99</v>
      </c>
      <c r="T12" s="63"/>
      <c r="W12" s="28"/>
      <c r="X12" s="29"/>
      <c r="Y12" s="17"/>
      <c r="AA12" s="17"/>
    </row>
    <row r="13" spans="2:27">
      <c r="B13" s="96"/>
      <c r="C13" s="207">
        <v>2.36</v>
      </c>
      <c r="D13" s="118">
        <f>'FA-FM Calc.'!G18</f>
        <v>76.666666666666671</v>
      </c>
      <c r="E13" s="96"/>
      <c r="G13" s="216"/>
      <c r="H13" s="68">
        <v>10</v>
      </c>
      <c r="I13" s="199">
        <v>100</v>
      </c>
      <c r="J13" s="199">
        <v>100</v>
      </c>
      <c r="K13" s="199"/>
      <c r="L13" s="199">
        <v>100</v>
      </c>
      <c r="M13" s="199">
        <v>100</v>
      </c>
      <c r="N13" s="199"/>
      <c r="O13" s="199">
        <v>100</v>
      </c>
      <c r="P13" s="199">
        <v>100</v>
      </c>
      <c r="Q13" s="199"/>
      <c r="R13" s="199">
        <v>100</v>
      </c>
      <c r="S13" s="196">
        <v>100</v>
      </c>
      <c r="T13" s="63"/>
      <c r="W13" s="28"/>
      <c r="X13" s="29"/>
      <c r="Y13" s="17"/>
      <c r="AA13" s="17"/>
    </row>
    <row r="14" spans="2:27">
      <c r="B14" s="96"/>
      <c r="C14" s="207">
        <v>1.18</v>
      </c>
      <c r="D14" s="118">
        <f>'FA-FM Calc.'!G20</f>
        <v>53.333333333333336</v>
      </c>
      <c r="E14" s="96"/>
      <c r="G14" s="216"/>
      <c r="H14" s="68">
        <v>4.75</v>
      </c>
      <c r="I14" s="199">
        <v>90</v>
      </c>
      <c r="J14" s="199">
        <v>100</v>
      </c>
      <c r="K14" s="68"/>
      <c r="L14" s="199">
        <v>90</v>
      </c>
      <c r="M14" s="199">
        <v>100</v>
      </c>
      <c r="N14" s="68"/>
      <c r="O14" s="199">
        <v>90</v>
      </c>
      <c r="P14" s="199">
        <v>100</v>
      </c>
      <c r="Q14" s="68"/>
      <c r="R14" s="199">
        <v>95</v>
      </c>
      <c r="S14" s="196">
        <v>100</v>
      </c>
      <c r="T14" s="63"/>
      <c r="W14" s="28"/>
      <c r="X14" s="29"/>
      <c r="Y14" s="17"/>
      <c r="AA14" s="17"/>
    </row>
    <row r="15" spans="2:27">
      <c r="B15" s="96"/>
      <c r="C15" s="207">
        <v>0.6</v>
      </c>
      <c r="D15" s="118">
        <f>'FA-FM Calc.'!G22</f>
        <v>30.000000000000014</v>
      </c>
      <c r="E15" s="96"/>
      <c r="G15" s="216"/>
      <c r="H15" s="68">
        <v>2.36</v>
      </c>
      <c r="I15" s="199">
        <v>60</v>
      </c>
      <c r="J15" s="199">
        <v>95</v>
      </c>
      <c r="K15" s="68"/>
      <c r="L15" s="199">
        <v>75</v>
      </c>
      <c r="M15" s="199">
        <v>100</v>
      </c>
      <c r="N15" s="68"/>
      <c r="O15" s="199">
        <v>85</v>
      </c>
      <c r="P15" s="199">
        <v>100</v>
      </c>
      <c r="Q15" s="68"/>
      <c r="R15" s="199">
        <v>95</v>
      </c>
      <c r="S15" s="196">
        <v>100</v>
      </c>
      <c r="T15" s="217"/>
      <c r="W15" s="28"/>
      <c r="X15" s="29"/>
      <c r="Y15" s="17"/>
      <c r="AA15" s="17"/>
    </row>
    <row r="16" spans="2:27">
      <c r="B16" s="96"/>
      <c r="C16" s="207">
        <v>0.3</v>
      </c>
      <c r="D16" s="118">
        <f>'FA-FM Calc.'!G24</f>
        <v>6.6666666666666714</v>
      </c>
      <c r="E16" s="96"/>
      <c r="G16" s="216"/>
      <c r="H16" s="68">
        <v>1.18</v>
      </c>
      <c r="I16" s="199">
        <v>30</v>
      </c>
      <c r="J16" s="199">
        <v>70</v>
      </c>
      <c r="K16" s="68"/>
      <c r="L16" s="199">
        <v>55</v>
      </c>
      <c r="M16" s="199">
        <v>90</v>
      </c>
      <c r="N16" s="68"/>
      <c r="O16" s="199">
        <v>75</v>
      </c>
      <c r="P16" s="199">
        <v>100</v>
      </c>
      <c r="Q16" s="68"/>
      <c r="R16" s="199">
        <v>90</v>
      </c>
      <c r="S16" s="196">
        <v>100</v>
      </c>
      <c r="T16" s="63"/>
      <c r="X16" s="22"/>
    </row>
    <row r="17" spans="2:23">
      <c r="B17" s="96"/>
      <c r="C17" s="207">
        <v>0.15</v>
      </c>
      <c r="D17" s="118">
        <f>'FA-FM Calc.'!G26</f>
        <v>0</v>
      </c>
      <c r="E17" s="96"/>
      <c r="G17" s="216"/>
      <c r="H17" s="68">
        <v>0.6</v>
      </c>
      <c r="I17" s="199">
        <v>15</v>
      </c>
      <c r="J17" s="199">
        <v>34</v>
      </c>
      <c r="K17" s="68"/>
      <c r="L17" s="199">
        <v>35</v>
      </c>
      <c r="M17" s="199">
        <v>55</v>
      </c>
      <c r="N17" s="68"/>
      <c r="O17" s="199">
        <v>60</v>
      </c>
      <c r="P17" s="199">
        <v>79</v>
      </c>
      <c r="Q17" s="68"/>
      <c r="R17" s="199">
        <v>80</v>
      </c>
      <c r="S17" s="196">
        <v>100</v>
      </c>
      <c r="T17" s="63"/>
    </row>
    <row r="18" spans="2:23">
      <c r="B18" s="96"/>
      <c r="C18" s="207"/>
      <c r="D18" s="207"/>
      <c r="E18" s="96"/>
      <c r="G18" s="216"/>
      <c r="H18" s="68">
        <v>0.3</v>
      </c>
      <c r="I18" s="212" t="s">
        <v>101</v>
      </c>
      <c r="J18" s="212" t="s">
        <v>102</v>
      </c>
      <c r="K18" s="211"/>
      <c r="L18" s="212" t="s">
        <v>103</v>
      </c>
      <c r="M18" s="199">
        <v>30</v>
      </c>
      <c r="N18" s="68"/>
      <c r="O18" s="212" t="s">
        <v>104</v>
      </c>
      <c r="P18" s="212" t="s">
        <v>105</v>
      </c>
      <c r="Q18" s="211"/>
      <c r="R18" s="212" t="s">
        <v>106</v>
      </c>
      <c r="S18" s="196">
        <v>50</v>
      </c>
      <c r="T18" s="63"/>
    </row>
    <row r="19" spans="2:23">
      <c r="B19" s="96"/>
      <c r="C19" s="661" t="s">
        <v>519</v>
      </c>
      <c r="D19" s="663" t="str">
        <f>Master!E54</f>
        <v>Choose From List</v>
      </c>
      <c r="E19" s="96"/>
      <c r="G19" s="216"/>
      <c r="H19" s="202">
        <v>0.15</v>
      </c>
      <c r="I19" s="200">
        <v>0</v>
      </c>
      <c r="J19" s="200">
        <v>10</v>
      </c>
      <c r="K19" s="68"/>
      <c r="L19" s="200">
        <v>0</v>
      </c>
      <c r="M19" s="200">
        <v>10</v>
      </c>
      <c r="N19" s="68"/>
      <c r="O19" s="200">
        <v>0</v>
      </c>
      <c r="P19" s="200">
        <v>10</v>
      </c>
      <c r="Q19" s="68"/>
      <c r="R19" s="200">
        <v>0</v>
      </c>
      <c r="S19" s="202">
        <v>15</v>
      </c>
      <c r="T19" s="63"/>
    </row>
    <row r="20" spans="2:23">
      <c r="B20" s="96"/>
      <c r="C20" s="662"/>
      <c r="D20" s="664"/>
      <c r="E20" s="96"/>
      <c r="G20" s="63"/>
      <c r="H20" s="68"/>
      <c r="I20" s="68"/>
      <c r="J20" s="68"/>
      <c r="K20" s="68"/>
      <c r="L20" s="68"/>
      <c r="M20" s="68"/>
      <c r="N20" s="68"/>
      <c r="O20" s="68"/>
      <c r="P20" s="68"/>
      <c r="Q20" s="68"/>
      <c r="R20" s="68"/>
      <c r="S20" s="68"/>
      <c r="T20" s="63"/>
    </row>
    <row r="21" spans="2:23">
      <c r="B21" s="96"/>
      <c r="C21" s="661" t="s">
        <v>107</v>
      </c>
      <c r="D21" s="665" t="str">
        <f>IF(D19="Choose From List",Master!G54,IF(AND(D15&gt;I17,D15&lt;J17),"I",IF(AND(D15&gt;L17,D15&lt;M17),"II",IF(AND(D15&gt;O17,D15&lt;P17),"III",IF(AND(D15&gt;R17,D15&lt;S17),"IV",INVALID)))))</f>
        <v>III</v>
      </c>
      <c r="E21" s="96"/>
      <c r="G21" s="63"/>
      <c r="H21" s="68"/>
      <c r="I21" s="68"/>
      <c r="J21" s="68"/>
      <c r="K21" s="68"/>
      <c r="L21" s="68"/>
      <c r="M21" s="68"/>
      <c r="N21" s="68"/>
      <c r="O21" s="68"/>
      <c r="P21" s="68"/>
      <c r="Q21" s="68"/>
      <c r="R21" s="68"/>
      <c r="S21" s="68"/>
      <c r="T21" s="63"/>
    </row>
    <row r="22" spans="2:23">
      <c r="B22" s="96"/>
      <c r="C22" s="662"/>
      <c r="D22" s="666"/>
      <c r="E22" s="96"/>
    </row>
    <row r="23" spans="2:23">
      <c r="B23" s="96"/>
      <c r="C23" s="96"/>
      <c r="D23" s="96"/>
      <c r="E23" s="96"/>
    </row>
    <row r="24" spans="2:23">
      <c r="T24" s="4"/>
      <c r="U24" s="4"/>
      <c r="V24" s="4"/>
      <c r="W24" s="4"/>
    </row>
    <row r="27" spans="2:23">
      <c r="I27" s="4"/>
      <c r="J27" s="4"/>
      <c r="K27" s="4"/>
      <c r="L27" s="4"/>
      <c r="M27" s="4"/>
      <c r="N27" s="4"/>
      <c r="O27" s="4"/>
      <c r="P27" s="4"/>
      <c r="Q27" s="4"/>
      <c r="R27" s="4"/>
    </row>
  </sheetData>
  <sheetProtection password="C08E" sheet="1" formatCells="0" formatColumns="0" formatRows="0" insertColumns="0" insertRows="0" insertHyperlinks="0" deleteColumns="0" deleteRows="0" sort="0" autoFilter="0" pivotTables="0"/>
  <mergeCells count="15">
    <mergeCell ref="C2:H3"/>
    <mergeCell ref="C4:H4"/>
    <mergeCell ref="G7:J8"/>
    <mergeCell ref="B7:D8"/>
    <mergeCell ref="D9:D10"/>
    <mergeCell ref="C9:C10"/>
    <mergeCell ref="C21:C22"/>
    <mergeCell ref="D19:D20"/>
    <mergeCell ref="D21:D22"/>
    <mergeCell ref="C19:C20"/>
    <mergeCell ref="I10:S10"/>
    <mergeCell ref="I11:J11"/>
    <mergeCell ref="L11:M11"/>
    <mergeCell ref="O11:P11"/>
    <mergeCell ref="R11:S11"/>
  </mergeCells>
  <pageMargins left="0.7" right="0.7" top="0.75" bottom="0.75" header="0.3" footer="0.3"/>
  <pageSetup paperSize="9" orientation="landscape" horizontalDpi="4294967293" verticalDpi="4294967293" r:id="rId1"/>
  <drawing r:id="rId2"/>
</worksheet>
</file>

<file path=xl/worksheets/sheet10.xml><?xml version="1.0" encoding="utf-8"?>
<worksheet xmlns="http://schemas.openxmlformats.org/spreadsheetml/2006/main" xmlns:r="http://schemas.openxmlformats.org/officeDocument/2006/relationships">
  <sheetPr codeName="Sheet12"/>
  <dimension ref="B3:Q16"/>
  <sheetViews>
    <sheetView topLeftCell="A36" workbookViewId="0">
      <selection activeCell="E19" sqref="E19"/>
    </sheetView>
  </sheetViews>
  <sheetFormatPr defaultRowHeight="15"/>
  <cols>
    <col min="1" max="1" width="7.140625" style="24" customWidth="1"/>
    <col min="2" max="2" width="6.85546875" style="24" customWidth="1"/>
    <col min="3" max="3" width="24.140625" style="24" customWidth="1"/>
    <col min="4" max="4" width="18.28515625" style="24" customWidth="1"/>
    <col min="5" max="5" width="6.85546875" style="24" customWidth="1"/>
    <col min="6" max="6" width="5.85546875" style="24" customWidth="1"/>
    <col min="7" max="7" width="6.140625" style="24" customWidth="1"/>
    <col min="8" max="8" width="17.140625" style="24" customWidth="1"/>
    <col min="9" max="9" width="9.85546875" style="24" customWidth="1"/>
    <col min="10" max="10" width="9.42578125" style="24" customWidth="1"/>
    <col min="11" max="11" width="4.7109375" style="24" customWidth="1"/>
    <col min="12" max="12" width="8.42578125" style="24" customWidth="1"/>
    <col min="13" max="13" width="8.7109375" style="24" customWidth="1"/>
    <col min="14" max="14" width="4.42578125" style="24" customWidth="1"/>
    <col min="15" max="15" width="9.28515625" style="24" customWidth="1"/>
    <col min="16" max="16" width="9" style="24" customWidth="1"/>
    <col min="17" max="17" width="4.85546875" style="24" customWidth="1"/>
    <col min="18" max="16384" width="9.140625" style="24"/>
  </cols>
  <sheetData>
    <row r="3" spans="2:17">
      <c r="B3" s="96"/>
      <c r="C3" s="96"/>
      <c r="D3" s="96"/>
      <c r="E3" s="96"/>
      <c r="G3" s="63"/>
      <c r="H3" s="63"/>
      <c r="I3" s="63"/>
      <c r="J3" s="63"/>
      <c r="K3" s="63"/>
      <c r="L3" s="63"/>
      <c r="M3" s="63"/>
      <c r="N3" s="63"/>
      <c r="O3" s="63"/>
      <c r="P3" s="63"/>
      <c r="Q3" s="63"/>
    </row>
    <row r="4" spans="2:17" ht="20.25" customHeight="1" thickBot="1">
      <c r="B4" s="520" t="s">
        <v>392</v>
      </c>
      <c r="C4" s="520"/>
      <c r="D4" s="520"/>
      <c r="E4" s="96"/>
      <c r="G4" s="671" t="s">
        <v>394</v>
      </c>
      <c r="H4" s="671"/>
      <c r="I4" s="671"/>
      <c r="J4" s="671"/>
      <c r="K4" s="671"/>
      <c r="L4" s="63"/>
      <c r="M4" s="63"/>
      <c r="N4" s="63"/>
      <c r="O4" s="63"/>
      <c r="P4" s="63"/>
      <c r="Q4" s="63"/>
    </row>
    <row r="5" spans="2:17" ht="15" customHeight="1" thickTop="1" thickBot="1">
      <c r="B5" s="520"/>
      <c r="C5" s="520"/>
      <c r="D5" s="520"/>
      <c r="E5" s="96"/>
      <c r="G5" s="671"/>
      <c r="H5" s="671"/>
      <c r="I5" s="671"/>
      <c r="J5" s="671"/>
      <c r="K5" s="671"/>
      <c r="L5" s="63"/>
      <c r="M5" s="63"/>
      <c r="N5" s="63"/>
      <c r="O5" s="63"/>
      <c r="P5" s="63"/>
      <c r="Q5" s="63"/>
    </row>
    <row r="6" spans="2:17" ht="15.75" customHeight="1" thickTop="1">
      <c r="B6" s="96"/>
      <c r="C6" s="221"/>
      <c r="D6" s="221"/>
      <c r="E6" s="96"/>
      <c r="G6" s="63"/>
      <c r="H6" s="222"/>
      <c r="I6" s="222"/>
      <c r="J6" s="222"/>
      <c r="K6" s="222"/>
      <c r="L6" s="222"/>
      <c r="M6" s="222"/>
      <c r="N6" s="222"/>
      <c r="O6" s="222"/>
      <c r="P6" s="222"/>
      <c r="Q6" s="63"/>
    </row>
    <row r="7" spans="2:17" ht="15" customHeight="1">
      <c r="B7" s="96"/>
      <c r="C7" s="220" t="s">
        <v>97</v>
      </c>
      <c r="D7" s="220" t="s">
        <v>98</v>
      </c>
      <c r="E7" s="96"/>
      <c r="G7" s="216"/>
      <c r="H7" s="677" t="s">
        <v>395</v>
      </c>
      <c r="I7" s="667">
        <v>40</v>
      </c>
      <c r="J7" s="676"/>
      <c r="K7" s="64"/>
      <c r="L7" s="667">
        <v>20</v>
      </c>
      <c r="M7" s="676"/>
      <c r="N7" s="64"/>
      <c r="O7" s="667">
        <v>10</v>
      </c>
      <c r="P7" s="676"/>
      <c r="Q7" s="63"/>
    </row>
    <row r="8" spans="2:17">
      <c r="B8" s="96"/>
      <c r="C8" s="220"/>
      <c r="D8" s="220"/>
      <c r="E8" s="96"/>
      <c r="G8" s="216"/>
      <c r="H8" s="677"/>
      <c r="I8" s="219" t="s">
        <v>100</v>
      </c>
      <c r="J8" s="213" t="s">
        <v>99</v>
      </c>
      <c r="K8" s="68"/>
      <c r="L8" s="213" t="s">
        <v>100</v>
      </c>
      <c r="M8" s="213" t="s">
        <v>99</v>
      </c>
      <c r="N8" s="68"/>
      <c r="O8" s="213" t="s">
        <v>100</v>
      </c>
      <c r="P8" s="214" t="s">
        <v>99</v>
      </c>
      <c r="Q8" s="63"/>
    </row>
    <row r="9" spans="2:17">
      <c r="B9" s="96"/>
      <c r="C9" s="207">
        <v>80</v>
      </c>
      <c r="D9" s="118">
        <f>'FA-FM Calc.'!P14</f>
        <v>100</v>
      </c>
      <c r="E9" s="96"/>
      <c r="G9" s="216"/>
      <c r="H9" s="196">
        <v>80</v>
      </c>
      <c r="I9" s="68">
        <v>100</v>
      </c>
      <c r="J9" s="199">
        <v>100</v>
      </c>
      <c r="K9" s="68"/>
      <c r="L9" s="199" t="s">
        <v>42</v>
      </c>
      <c r="M9" s="199" t="s">
        <v>42</v>
      </c>
      <c r="N9" s="68"/>
      <c r="O9" s="199" t="s">
        <v>42</v>
      </c>
      <c r="P9" s="196" t="s">
        <v>42</v>
      </c>
      <c r="Q9" s="63"/>
    </row>
    <row r="10" spans="2:17">
      <c r="B10" s="96"/>
      <c r="C10" s="207">
        <v>40</v>
      </c>
      <c r="D10" s="118">
        <f>'FA-FM Calc.'!P16</f>
        <v>100</v>
      </c>
      <c r="E10" s="96"/>
      <c r="G10" s="216"/>
      <c r="H10" s="196">
        <v>40</v>
      </c>
      <c r="I10" s="68">
        <v>85</v>
      </c>
      <c r="J10" s="199">
        <v>100</v>
      </c>
      <c r="K10" s="64"/>
      <c r="L10" s="199">
        <v>100</v>
      </c>
      <c r="M10" s="199">
        <v>100</v>
      </c>
      <c r="N10" s="64"/>
      <c r="O10" s="199" t="s">
        <v>42</v>
      </c>
      <c r="P10" s="196" t="s">
        <v>42</v>
      </c>
      <c r="Q10" s="63"/>
    </row>
    <row r="11" spans="2:17">
      <c r="B11" s="96"/>
      <c r="C11" s="207">
        <v>20</v>
      </c>
      <c r="D11" s="118">
        <f>'FA-FM Calc.'!P18</f>
        <v>100</v>
      </c>
      <c r="E11" s="96"/>
      <c r="G11" s="216"/>
      <c r="H11" s="196">
        <v>20</v>
      </c>
      <c r="I11" s="68">
        <v>0</v>
      </c>
      <c r="J11" s="199">
        <v>20</v>
      </c>
      <c r="K11" s="64"/>
      <c r="L11" s="199">
        <v>85</v>
      </c>
      <c r="M11" s="199">
        <v>100</v>
      </c>
      <c r="N11" s="64"/>
      <c r="O11" s="199" t="s">
        <v>42</v>
      </c>
      <c r="P11" s="196" t="s">
        <v>42</v>
      </c>
      <c r="Q11" s="63"/>
    </row>
    <row r="12" spans="2:17">
      <c r="B12" s="96"/>
      <c r="C12" s="207">
        <v>10</v>
      </c>
      <c r="D12" s="118">
        <f>'FA-FM Calc.'!P20</f>
        <v>21.428571428571431</v>
      </c>
      <c r="E12" s="96"/>
      <c r="G12" s="216"/>
      <c r="H12" s="196">
        <v>10</v>
      </c>
      <c r="I12" s="68">
        <v>0</v>
      </c>
      <c r="J12" s="199">
        <v>5</v>
      </c>
      <c r="K12" s="64"/>
      <c r="L12" s="199">
        <v>0</v>
      </c>
      <c r="M12" s="199">
        <v>20</v>
      </c>
      <c r="N12" s="64"/>
      <c r="O12" s="199">
        <v>85</v>
      </c>
      <c r="P12" s="196">
        <v>100</v>
      </c>
      <c r="Q12" s="63"/>
    </row>
    <row r="13" spans="2:17">
      <c r="B13" s="96"/>
      <c r="C13" s="207">
        <v>4.75</v>
      </c>
      <c r="D13" s="118">
        <f>'FA-FM Calc.'!P22</f>
        <v>0</v>
      </c>
      <c r="E13" s="96"/>
      <c r="G13" s="216"/>
      <c r="H13" s="196">
        <v>4.75</v>
      </c>
      <c r="I13" s="68" t="s">
        <v>42</v>
      </c>
      <c r="J13" s="199" t="s">
        <v>42</v>
      </c>
      <c r="K13" s="64"/>
      <c r="L13" s="199">
        <v>0</v>
      </c>
      <c r="M13" s="199">
        <v>5</v>
      </c>
      <c r="N13" s="64"/>
      <c r="O13" s="199">
        <v>0</v>
      </c>
      <c r="P13" s="196">
        <v>20</v>
      </c>
      <c r="Q13" s="63"/>
    </row>
    <row r="14" spans="2:17">
      <c r="B14" s="96"/>
      <c r="C14" s="207">
        <v>2.36</v>
      </c>
      <c r="D14" s="118">
        <f>'FA-FM Calc.'!P24</f>
        <v>0</v>
      </c>
      <c r="E14" s="96"/>
      <c r="G14" s="216"/>
      <c r="H14" s="196">
        <v>2.36</v>
      </c>
      <c r="I14" s="68" t="s">
        <v>42</v>
      </c>
      <c r="J14" s="199" t="s">
        <v>42</v>
      </c>
      <c r="K14" s="64"/>
      <c r="L14" s="199" t="s">
        <v>42</v>
      </c>
      <c r="M14" s="199" t="s">
        <v>42</v>
      </c>
      <c r="N14" s="64"/>
      <c r="O14" s="199">
        <v>0</v>
      </c>
      <c r="P14" s="196">
        <v>5</v>
      </c>
      <c r="Q14" s="63"/>
    </row>
    <row r="15" spans="2:17">
      <c r="B15" s="96"/>
      <c r="C15" s="96"/>
      <c r="D15" s="96"/>
      <c r="E15" s="96"/>
      <c r="G15" s="216"/>
      <c r="H15" s="223"/>
      <c r="I15" s="223"/>
      <c r="J15" s="223"/>
      <c r="K15" s="63"/>
      <c r="L15" s="223"/>
      <c r="M15" s="223"/>
      <c r="N15" s="63"/>
      <c r="O15" s="223"/>
      <c r="P15" s="223"/>
      <c r="Q15" s="63"/>
    </row>
    <row r="16" spans="2:17">
      <c r="G16" s="63"/>
      <c r="H16" s="63"/>
      <c r="I16" s="63"/>
      <c r="J16" s="63"/>
      <c r="K16" s="63"/>
      <c r="L16" s="63"/>
      <c r="M16" s="63"/>
      <c r="N16" s="63"/>
      <c r="O16" s="63"/>
      <c r="P16" s="63"/>
      <c r="Q16" s="63"/>
    </row>
  </sheetData>
  <sheetProtection password="C08E" sheet="1" formatCells="0" formatColumns="0" formatRows="0" insertColumns="0" insertRows="0" insertHyperlinks="0" deleteColumns="0" deleteRows="0" sort="0" autoFilter="0" pivotTables="0"/>
  <mergeCells count="6">
    <mergeCell ref="O7:P7"/>
    <mergeCell ref="B4:D5"/>
    <mergeCell ref="H7:H8"/>
    <mergeCell ref="G4:K5"/>
    <mergeCell ref="I7:J7"/>
    <mergeCell ref="L7:M7"/>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8"/>
  <dimension ref="A1:AM149"/>
  <sheetViews>
    <sheetView workbookViewId="0">
      <selection activeCell="J58" sqref="J58:M59"/>
    </sheetView>
  </sheetViews>
  <sheetFormatPr defaultRowHeight="15"/>
  <cols>
    <col min="1" max="1" width="9.140625" style="24" customWidth="1"/>
    <col min="2" max="2" width="9.7109375" customWidth="1"/>
    <col min="3" max="3" width="33" style="1" customWidth="1"/>
    <col min="4" max="4" width="12" customWidth="1"/>
    <col min="5" max="5" width="13.5703125" style="24" customWidth="1"/>
    <col min="6" max="6" width="5.85546875" style="24" customWidth="1"/>
    <col min="7" max="7" width="10.85546875" style="24" customWidth="1"/>
    <col min="8" max="8" width="6.7109375" customWidth="1"/>
    <col min="9" max="9" width="16.28515625" customWidth="1"/>
    <col min="10" max="10" width="19.42578125" customWidth="1"/>
    <col min="11" max="11" width="11.28515625" customWidth="1"/>
    <col min="12" max="12" width="13.7109375" customWidth="1"/>
    <col min="13" max="13" width="11.42578125" customWidth="1"/>
    <col min="14" max="14" width="11" customWidth="1"/>
    <col min="15" max="15" width="9.85546875" style="24" customWidth="1"/>
    <col min="16" max="16" width="13.5703125" customWidth="1"/>
    <col min="17" max="17" width="7.7109375" customWidth="1"/>
    <col min="18" max="18" width="33.7109375" customWidth="1"/>
    <col min="19" max="19" width="21.5703125" customWidth="1"/>
    <col min="20" max="20" width="16.7109375" customWidth="1"/>
    <col min="21" max="21" width="17.28515625" customWidth="1"/>
    <col min="22" max="22" width="17.140625" customWidth="1"/>
    <col min="23" max="23" width="6.42578125" customWidth="1"/>
    <col min="24" max="24" width="9.140625" style="24"/>
    <col min="26" max="26" width="6.7109375" customWidth="1"/>
    <col min="27" max="27" width="14.140625" customWidth="1"/>
    <col min="28" max="29" width="26" customWidth="1"/>
    <col min="30" max="30" width="22.85546875" customWidth="1"/>
    <col min="31" max="31" width="6.28515625" customWidth="1"/>
  </cols>
  <sheetData>
    <row r="1" spans="1:39" s="24" customFormat="1">
      <c r="C1" s="31"/>
      <c r="P1"/>
    </row>
    <row r="2" spans="1:39" s="24" customFormat="1">
      <c r="C2" s="31"/>
      <c r="P2"/>
    </row>
    <row r="3" spans="1:39" s="24" customFormat="1" ht="15" customHeight="1">
      <c r="B3" s="496" t="s">
        <v>245</v>
      </c>
      <c r="C3" s="574"/>
      <c r="D3" s="574"/>
      <c r="E3" s="574"/>
      <c r="F3" s="574"/>
      <c r="G3" s="575"/>
      <c r="I3" s="713" t="s">
        <v>246</v>
      </c>
      <c r="J3" s="714"/>
      <c r="K3" s="715"/>
      <c r="L3" s="407" t="str">
        <f>Master!E39</f>
        <v>IS Method</v>
      </c>
    </row>
    <row r="4" spans="1:39" s="24" customFormat="1">
      <c r="B4" s="711"/>
      <c r="C4" s="508"/>
      <c r="D4" s="508"/>
      <c r="E4" s="508"/>
      <c r="F4" s="508"/>
      <c r="G4" s="712"/>
      <c r="I4" s="519" t="s">
        <v>129</v>
      </c>
      <c r="J4" s="519"/>
      <c r="K4" s="519"/>
      <c r="L4" s="406">
        <f>IF(L3="IS Method",E54,IF(L3="Void Ratio Method",AD41,V100))</f>
        <v>0.64</v>
      </c>
    </row>
    <row r="5" spans="1:39">
      <c r="B5" s="24"/>
      <c r="C5" s="107"/>
      <c r="D5" s="107"/>
      <c r="E5" s="107"/>
      <c r="F5" s="107"/>
      <c r="G5" s="107"/>
      <c r="H5" s="107"/>
      <c r="I5" s="519" t="s">
        <v>39</v>
      </c>
      <c r="J5" s="519"/>
      <c r="K5" s="519"/>
      <c r="L5" s="406">
        <f>1-L4</f>
        <v>0.36</v>
      </c>
      <c r="AF5" s="26"/>
      <c r="AG5" s="20"/>
    </row>
    <row r="6" spans="1:39" s="24" customFormat="1">
      <c r="B6" s="26"/>
      <c r="C6" s="32"/>
      <c r="D6" s="32"/>
      <c r="E6" s="32"/>
      <c r="F6" s="32"/>
      <c r="G6" s="32"/>
      <c r="H6" s="32"/>
      <c r="O6" s="58"/>
      <c r="P6" s="58"/>
      <c r="Q6" s="58"/>
      <c r="R6" s="446"/>
      <c r="AF6" s="20"/>
      <c r="AG6" s="20"/>
      <c r="AH6"/>
      <c r="AI6"/>
      <c r="AJ6"/>
      <c r="AK6"/>
      <c r="AL6"/>
      <c r="AM6"/>
    </row>
    <row r="7" spans="1:39" s="24" customFormat="1">
      <c r="B7" s="26"/>
      <c r="C7" s="226"/>
      <c r="D7" s="226"/>
      <c r="E7" s="32"/>
      <c r="F7" s="32"/>
      <c r="G7" s="32"/>
      <c r="H7" s="32"/>
      <c r="P7"/>
      <c r="AF7" s="17"/>
      <c r="AG7" s="17"/>
      <c r="AH7"/>
      <c r="AI7"/>
      <c r="AJ7"/>
      <c r="AK7"/>
      <c r="AL7"/>
      <c r="AM7"/>
    </row>
    <row r="8" spans="1:39" s="24" customFormat="1" ht="15.75" thickBot="1">
      <c r="B8" s="225"/>
      <c r="C8" s="687" t="s">
        <v>247</v>
      </c>
      <c r="D8" s="688"/>
      <c r="E8" s="32"/>
      <c r="F8" s="32"/>
      <c r="G8" s="32"/>
      <c r="H8" s="32"/>
      <c r="P8"/>
      <c r="R8" s="687" t="s">
        <v>260</v>
      </c>
      <c r="S8" s="688"/>
      <c r="T8" s="58"/>
      <c r="U8" s="58"/>
      <c r="V8" s="58"/>
      <c r="AA8" s="520" t="s">
        <v>267</v>
      </c>
      <c r="AB8" s="520"/>
      <c r="AC8" s="520"/>
      <c r="AF8" s="26"/>
      <c r="AG8" s="17"/>
      <c r="AH8"/>
      <c r="AI8"/>
      <c r="AJ8"/>
      <c r="AK8"/>
      <c r="AL8"/>
      <c r="AM8"/>
    </row>
    <row r="9" spans="1:39" s="24" customFormat="1" ht="16.5" thickTop="1" thickBot="1">
      <c r="B9" s="225"/>
      <c r="C9" s="687"/>
      <c r="D9" s="689"/>
      <c r="E9" s="32"/>
      <c r="F9" s="32"/>
      <c r="G9" s="32"/>
      <c r="H9" s="32"/>
      <c r="P9"/>
      <c r="R9" s="687"/>
      <c r="S9" s="689"/>
      <c r="T9" s="58"/>
      <c r="U9" s="58"/>
      <c r="V9" s="58"/>
      <c r="AA9" s="520"/>
      <c r="AB9" s="520"/>
      <c r="AC9" s="520"/>
      <c r="AF9" s="26"/>
    </row>
    <row r="10" spans="1:39" s="24" customFormat="1" ht="15.75" thickTop="1">
      <c r="C10" s="227"/>
      <c r="D10" s="227"/>
      <c r="E10" s="32"/>
      <c r="F10" s="32"/>
      <c r="G10" s="32"/>
      <c r="H10" s="32"/>
      <c r="P10"/>
      <c r="R10" s="11"/>
      <c r="S10" s="11"/>
      <c r="T10" s="11"/>
      <c r="U10" s="11"/>
      <c r="V10" s="11"/>
      <c r="AB10" s="17"/>
      <c r="AC10" s="17"/>
      <c r="AD10" s="17"/>
      <c r="AF10" s="26"/>
    </row>
    <row r="11" spans="1:39" s="24" customFormat="1" ht="12.75" customHeight="1">
      <c r="B11" s="26"/>
      <c r="C11" s="227"/>
      <c r="D11" s="227"/>
      <c r="E11" s="32"/>
      <c r="F11" s="32"/>
      <c r="G11" s="32"/>
      <c r="H11" s="32"/>
      <c r="P11"/>
      <c r="AG11" s="17"/>
      <c r="AH11"/>
      <c r="AI11"/>
      <c r="AJ11"/>
      <c r="AK11"/>
      <c r="AL11"/>
      <c r="AM11"/>
    </row>
    <row r="12" spans="1:39" s="13" customFormat="1" ht="16.5" customHeight="1">
      <c r="A12" s="24"/>
      <c r="B12" s="12"/>
      <c r="C12" s="237"/>
      <c r="D12" s="237"/>
      <c r="E12" s="96"/>
      <c r="F12" s="96"/>
      <c r="G12" s="24"/>
      <c r="H12" s="63"/>
      <c r="I12" s="63"/>
      <c r="J12" s="63"/>
      <c r="K12" s="63"/>
      <c r="L12" s="63"/>
      <c r="M12" s="63"/>
      <c r="N12" s="63"/>
      <c r="O12" s="63"/>
      <c r="P12"/>
      <c r="R12" s="24"/>
      <c r="S12" s="24"/>
      <c r="T12" s="24"/>
      <c r="U12" s="24"/>
      <c r="V12" s="24"/>
      <c r="X12" s="24"/>
      <c r="AF12" s="24"/>
      <c r="AG12" s="17"/>
      <c r="AH12"/>
      <c r="AI12"/>
      <c r="AJ12"/>
      <c r="AK12"/>
      <c r="AL12"/>
      <c r="AM12"/>
    </row>
    <row r="13" spans="1:39" ht="15.75" thickBot="1">
      <c r="B13" s="467" t="s">
        <v>396</v>
      </c>
      <c r="C13" s="467"/>
      <c r="D13" s="467"/>
      <c r="E13" s="96"/>
      <c r="F13" s="96"/>
      <c r="H13" s="63"/>
      <c r="I13" s="63"/>
      <c r="J13" s="63"/>
      <c r="K13" s="63"/>
      <c r="L13" s="63"/>
      <c r="M13" s="63"/>
      <c r="N13" s="63"/>
      <c r="O13" s="63"/>
      <c r="Q13" s="47"/>
      <c r="R13" s="47"/>
      <c r="S13" s="47"/>
      <c r="T13" s="47"/>
      <c r="U13" s="47"/>
      <c r="V13" s="47"/>
      <c r="W13" s="47"/>
      <c r="Z13" s="46"/>
      <c r="AA13" s="46"/>
      <c r="AB13" s="46"/>
      <c r="AC13" s="46"/>
      <c r="AD13" s="46"/>
      <c r="AE13" s="46"/>
      <c r="AF13" s="24"/>
      <c r="AG13" s="17"/>
    </row>
    <row r="14" spans="1:39" s="13" customFormat="1" ht="16.5" customHeight="1" thickTop="1" thickBot="1">
      <c r="A14" s="24"/>
      <c r="B14" s="467"/>
      <c r="C14" s="467"/>
      <c r="D14" s="467"/>
      <c r="E14" s="96"/>
      <c r="F14" s="96"/>
      <c r="G14" s="24"/>
      <c r="H14" s="63"/>
      <c r="I14" s="639" t="s">
        <v>397</v>
      </c>
      <c r="J14" s="639"/>
      <c r="K14" s="639"/>
      <c r="L14" s="639"/>
      <c r="M14" s="639"/>
      <c r="N14" s="639"/>
      <c r="O14" s="63"/>
      <c r="P14"/>
      <c r="Q14" s="47"/>
      <c r="R14" s="467" t="s">
        <v>216</v>
      </c>
      <c r="S14" s="467"/>
      <c r="T14" s="43"/>
      <c r="U14" s="43"/>
      <c r="V14" s="43"/>
      <c r="W14" s="47"/>
      <c r="X14" s="24"/>
      <c r="Z14" s="46"/>
      <c r="AA14" s="699" t="s">
        <v>407</v>
      </c>
      <c r="AB14" s="699"/>
      <c r="AC14" s="699"/>
      <c r="AD14" s="46"/>
      <c r="AE14" s="46"/>
      <c r="AF14" s="24"/>
      <c r="AG14" s="17"/>
      <c r="AH14"/>
      <c r="AI14"/>
      <c r="AJ14"/>
      <c r="AK14"/>
      <c r="AL14"/>
      <c r="AM14"/>
    </row>
    <row r="15" spans="1:39" ht="18.75" thickTop="1" thickBot="1">
      <c r="B15" s="238"/>
      <c r="C15" s="354"/>
      <c r="D15" s="354"/>
      <c r="E15" s="12"/>
      <c r="F15" s="12"/>
      <c r="H15" s="63"/>
      <c r="I15" s="639"/>
      <c r="J15" s="639"/>
      <c r="K15" s="639"/>
      <c r="L15" s="639"/>
      <c r="M15" s="639"/>
      <c r="N15" s="639"/>
      <c r="O15" s="63"/>
      <c r="Q15" s="47"/>
      <c r="R15" s="467"/>
      <c r="S15" s="467"/>
      <c r="T15" s="43"/>
      <c r="U15" s="43"/>
      <c r="V15" s="43"/>
      <c r="W15" s="47"/>
      <c r="Z15" s="286"/>
      <c r="AA15" s="700"/>
      <c r="AB15" s="700"/>
      <c r="AC15" s="700"/>
      <c r="AD15" s="46"/>
      <c r="AE15" s="46"/>
      <c r="AF15" s="24"/>
      <c r="AG15" s="17"/>
    </row>
    <row r="16" spans="1:39" ht="18" thickTop="1">
      <c r="B16" s="12"/>
      <c r="C16" s="234"/>
      <c r="D16" s="12"/>
      <c r="E16" s="12"/>
      <c r="F16" s="96"/>
      <c r="H16" s="63"/>
      <c r="I16" s="240"/>
      <c r="J16" s="240"/>
      <c r="K16" s="240"/>
      <c r="L16" s="240"/>
      <c r="M16" s="240"/>
      <c r="N16" s="240"/>
      <c r="O16" s="63"/>
      <c r="Q16" s="47"/>
      <c r="R16" s="248"/>
      <c r="S16" s="249"/>
      <c r="T16" s="43"/>
      <c r="U16" s="43"/>
      <c r="V16" s="43"/>
      <c r="W16" s="47"/>
      <c r="Z16" s="285"/>
      <c r="AA16" s="46"/>
      <c r="AB16" s="46"/>
      <c r="AC16" s="46"/>
      <c r="AD16" s="46"/>
      <c r="AE16" s="46"/>
      <c r="AF16" s="24"/>
      <c r="AG16" s="17"/>
    </row>
    <row r="17" spans="1:39" ht="17.25">
      <c r="B17" s="12"/>
      <c r="C17" s="533" t="s">
        <v>115</v>
      </c>
      <c r="D17" s="533"/>
      <c r="E17" s="356" t="str">
        <f>'FA Grading'!D21</f>
        <v>III</v>
      </c>
      <c r="F17" s="96"/>
      <c r="H17" s="63"/>
      <c r="I17" s="240"/>
      <c r="J17" s="240"/>
      <c r="K17" s="240"/>
      <c r="L17" s="240"/>
      <c r="M17" s="240"/>
      <c r="N17" s="240"/>
      <c r="O17" s="63"/>
      <c r="Q17" s="47"/>
      <c r="R17" s="264"/>
      <c r="S17" s="680" t="s">
        <v>182</v>
      </c>
      <c r="T17" s="680" t="s">
        <v>258</v>
      </c>
      <c r="U17" s="680" t="s">
        <v>259</v>
      </c>
      <c r="V17" s="680" t="s">
        <v>196</v>
      </c>
      <c r="W17" s="47"/>
      <c r="Z17" s="46"/>
      <c r="AA17" s="697" t="s">
        <v>269</v>
      </c>
      <c r="AB17" s="697" t="s">
        <v>206</v>
      </c>
      <c r="AC17" s="697" t="s">
        <v>268</v>
      </c>
      <c r="AD17" s="697" t="s">
        <v>207</v>
      </c>
      <c r="AE17" s="46"/>
      <c r="AF17" s="24"/>
      <c r="AG17" s="17"/>
    </row>
    <row r="18" spans="1:39">
      <c r="B18" s="12"/>
      <c r="C18" s="234"/>
      <c r="D18" s="12"/>
      <c r="E18" s="355"/>
      <c r="F18" s="96"/>
      <c r="H18" s="63"/>
      <c r="I18" s="241"/>
      <c r="J18" s="198"/>
      <c r="K18" s="692" t="s">
        <v>113</v>
      </c>
      <c r="L18" s="692"/>
      <c r="M18" s="692"/>
      <c r="N18" s="693"/>
      <c r="O18" s="63"/>
      <c r="Q18" s="47"/>
      <c r="R18" s="265" t="s">
        <v>403</v>
      </c>
      <c r="S18" s="681"/>
      <c r="T18" s="681"/>
      <c r="U18" s="681"/>
      <c r="V18" s="681"/>
      <c r="W18" s="47"/>
      <c r="Z18" s="46"/>
      <c r="AA18" s="698"/>
      <c r="AB18" s="698"/>
      <c r="AC18" s="698"/>
      <c r="AD18" s="698"/>
      <c r="AE18" s="46"/>
      <c r="AF18" s="24"/>
      <c r="AG18" s="17"/>
    </row>
    <row r="19" spans="1:39">
      <c r="B19" s="12"/>
      <c r="C19" s="234"/>
      <c r="D19" s="12"/>
      <c r="E19" s="234"/>
      <c r="F19" s="96"/>
      <c r="H19" s="63"/>
      <c r="I19" s="617" t="s">
        <v>30</v>
      </c>
      <c r="J19" s="199" t="s">
        <v>34</v>
      </c>
      <c r="K19" s="694" t="s">
        <v>114</v>
      </c>
      <c r="L19" s="695"/>
      <c r="M19" s="695"/>
      <c r="N19" s="696"/>
      <c r="O19" s="63"/>
      <c r="Q19" s="47"/>
      <c r="R19" s="262"/>
      <c r="S19" s="261" t="s">
        <v>264</v>
      </c>
      <c r="T19" s="261" t="s">
        <v>183</v>
      </c>
      <c r="U19" s="261" t="s">
        <v>262</v>
      </c>
      <c r="V19" s="259" t="s">
        <v>197</v>
      </c>
      <c r="W19" s="47"/>
      <c r="Z19" s="46"/>
      <c r="AA19" s="287"/>
      <c r="AB19" s="287"/>
      <c r="AC19" s="287"/>
      <c r="AD19" s="287"/>
      <c r="AE19" s="46"/>
      <c r="AF19" s="17"/>
      <c r="AG19" s="17"/>
    </row>
    <row r="20" spans="1:39">
      <c r="B20" s="12"/>
      <c r="C20" s="533" t="s">
        <v>116</v>
      </c>
      <c r="D20" s="533"/>
      <c r="E20" s="297">
        <f>Master!E57</f>
        <v>20</v>
      </c>
      <c r="F20" s="96"/>
      <c r="H20" s="63"/>
      <c r="I20" s="617"/>
      <c r="J20" s="199" t="s">
        <v>35</v>
      </c>
      <c r="K20" s="228" t="s">
        <v>37</v>
      </c>
      <c r="L20" s="228" t="s">
        <v>37</v>
      </c>
      <c r="M20" s="228" t="s">
        <v>37</v>
      </c>
      <c r="N20" s="230" t="s">
        <v>37</v>
      </c>
      <c r="O20" s="63"/>
      <c r="Q20" s="47"/>
      <c r="R20" s="260"/>
      <c r="S20" s="134"/>
      <c r="T20" s="133"/>
      <c r="U20" s="77"/>
      <c r="V20" s="133"/>
      <c r="W20" s="47"/>
      <c r="Z20" s="46"/>
      <c r="AA20" s="288">
        <v>1</v>
      </c>
      <c r="AB20" s="288" t="s">
        <v>208</v>
      </c>
      <c r="AC20" s="291">
        <f>20/80</f>
        <v>0.25</v>
      </c>
      <c r="AD20" s="295">
        <v>25</v>
      </c>
      <c r="AE20" s="46"/>
      <c r="AF20" s="17"/>
      <c r="AG20" s="17"/>
    </row>
    <row r="21" spans="1:39">
      <c r="B21" s="12"/>
      <c r="C21" s="533" t="s">
        <v>117</v>
      </c>
      <c r="D21" s="533"/>
      <c r="E21" s="234"/>
      <c r="F21" s="96"/>
      <c r="H21" s="63"/>
      <c r="I21" s="223"/>
      <c r="J21" s="200"/>
      <c r="K21" s="229" t="s">
        <v>290</v>
      </c>
      <c r="L21" s="229" t="s">
        <v>61</v>
      </c>
      <c r="M21" s="229" t="s">
        <v>60</v>
      </c>
      <c r="N21" s="246" t="s">
        <v>59</v>
      </c>
      <c r="O21" s="63"/>
      <c r="Q21" s="47"/>
      <c r="R21" s="134" t="s">
        <v>255</v>
      </c>
      <c r="S21" s="134">
        <f>Tests!O18</f>
        <v>0</v>
      </c>
      <c r="T21" s="134">
        <f>S21*100/$S$41</f>
        <v>0</v>
      </c>
      <c r="U21" s="77">
        <v>-2.5</v>
      </c>
      <c r="V21" s="134">
        <f>T21*U21</f>
        <v>0</v>
      </c>
      <c r="W21" s="47"/>
      <c r="Z21" s="46"/>
      <c r="AA21" s="288"/>
      <c r="AB21" s="288"/>
      <c r="AC21" s="291"/>
      <c r="AD21" s="288"/>
      <c r="AE21" s="46"/>
      <c r="AF21" s="17"/>
      <c r="AG21" s="17"/>
    </row>
    <row r="22" spans="1:39">
      <c r="B22" s="12"/>
      <c r="C22" s="234"/>
      <c r="D22" s="12"/>
      <c r="E22" s="234"/>
      <c r="F22" s="96"/>
      <c r="G22" s="11"/>
      <c r="H22" s="247"/>
      <c r="I22" s="242"/>
      <c r="J22" s="199"/>
      <c r="K22" s="245"/>
      <c r="L22" s="245"/>
      <c r="M22" s="245"/>
      <c r="N22" s="230"/>
      <c r="O22" s="63"/>
      <c r="Q22" s="47"/>
      <c r="R22" s="134"/>
      <c r="S22" s="134"/>
      <c r="T22" s="134"/>
      <c r="U22" s="77"/>
      <c r="V22" s="134"/>
      <c r="W22" s="47"/>
      <c r="Z22" s="46"/>
      <c r="AA22" s="288">
        <v>2</v>
      </c>
      <c r="AB22" s="288" t="s">
        <v>209</v>
      </c>
      <c r="AC22" s="291">
        <f>30/70</f>
        <v>0.42857142857142855</v>
      </c>
      <c r="AD22" s="295">
        <v>24</v>
      </c>
      <c r="AE22" s="46"/>
      <c r="AF22" s="17"/>
      <c r="AG22" s="17"/>
    </row>
    <row r="23" spans="1:39" ht="15" customHeight="1">
      <c r="B23" s="12"/>
      <c r="C23" s="234"/>
      <c r="D23" s="12"/>
      <c r="E23" s="234"/>
      <c r="F23" s="96"/>
      <c r="H23" s="63"/>
      <c r="I23" s="243">
        <v>1</v>
      </c>
      <c r="J23" s="199">
        <v>10</v>
      </c>
      <c r="K23" s="199">
        <v>0.5</v>
      </c>
      <c r="L23" s="199">
        <v>0.48</v>
      </c>
      <c r="M23" s="199">
        <v>0.46</v>
      </c>
      <c r="N23" s="196">
        <v>0.44</v>
      </c>
      <c r="O23" s="63"/>
      <c r="Q23" s="47"/>
      <c r="R23" s="134" t="s">
        <v>254</v>
      </c>
      <c r="S23" s="134">
        <f>Tests!O20</f>
        <v>0</v>
      </c>
      <c r="T23" s="134">
        <f>S23*100/$S$41</f>
        <v>0</v>
      </c>
      <c r="U23" s="77">
        <v>-2</v>
      </c>
      <c r="V23" s="134">
        <f t="shared" ref="V23:V39" si="0">T23*U23</f>
        <v>0</v>
      </c>
      <c r="W23" s="47"/>
      <c r="Z23" s="46"/>
      <c r="AA23" s="288"/>
      <c r="AB23" s="288"/>
      <c r="AC23" s="291"/>
      <c r="AD23" s="288"/>
      <c r="AE23" s="46"/>
      <c r="AF23" s="17"/>
      <c r="AG23" s="17"/>
    </row>
    <row r="24" spans="1:39" s="13" customFormat="1" ht="15" customHeight="1">
      <c r="A24" s="24"/>
      <c r="B24" s="12"/>
      <c r="C24" s="533" t="s">
        <v>118</v>
      </c>
      <c r="D24" s="533"/>
      <c r="E24" s="233">
        <f>HLOOKUP(E17,I21:N27,MATCH(E20,J23:J27,0)+2,FALSE)</f>
        <v>0.64</v>
      </c>
      <c r="F24" s="96"/>
      <c r="G24" s="24"/>
      <c r="H24" s="63"/>
      <c r="I24" s="243"/>
      <c r="J24" s="199"/>
      <c r="K24" s="199"/>
      <c r="L24" s="199"/>
      <c r="M24" s="199"/>
      <c r="N24" s="196"/>
      <c r="O24" s="63"/>
      <c r="P24"/>
      <c r="Q24" s="47"/>
      <c r="R24" s="134"/>
      <c r="S24" s="134"/>
      <c r="T24" s="134"/>
      <c r="U24" s="77"/>
      <c r="V24" s="134"/>
      <c r="W24" s="47"/>
      <c r="X24" s="24"/>
      <c r="Z24" s="46"/>
      <c r="AA24" s="288">
        <v>3</v>
      </c>
      <c r="AB24" s="288" t="s">
        <v>210</v>
      </c>
      <c r="AC24" s="291">
        <f>40/60</f>
        <v>0.66666666666666663</v>
      </c>
      <c r="AD24" s="295">
        <v>23</v>
      </c>
      <c r="AE24" s="46"/>
      <c r="AF24"/>
      <c r="AG24"/>
      <c r="AH24"/>
      <c r="AI24"/>
      <c r="AJ24"/>
      <c r="AK24"/>
      <c r="AL24"/>
      <c r="AM24"/>
    </row>
    <row r="25" spans="1:39" s="13" customFormat="1">
      <c r="A25" s="24"/>
      <c r="B25" s="96"/>
      <c r="C25" s="533" t="s">
        <v>119</v>
      </c>
      <c r="D25" s="533"/>
      <c r="E25" s="99"/>
      <c r="F25" s="218"/>
      <c r="G25" s="24"/>
      <c r="H25" s="63"/>
      <c r="I25" s="243">
        <v>2</v>
      </c>
      <c r="J25" s="199">
        <v>20</v>
      </c>
      <c r="K25" s="199">
        <v>0.66</v>
      </c>
      <c r="L25" s="199">
        <v>0.64</v>
      </c>
      <c r="M25" s="199">
        <v>0.62</v>
      </c>
      <c r="N25" s="196">
        <v>0.6</v>
      </c>
      <c r="O25" s="63"/>
      <c r="P25"/>
      <c r="Q25" s="47"/>
      <c r="R25" s="134" t="s">
        <v>253</v>
      </c>
      <c r="S25" s="134">
        <f>Tests!O22</f>
        <v>5.5</v>
      </c>
      <c r="T25" s="134">
        <f>S25*100/$S$41</f>
        <v>55.000000000000007</v>
      </c>
      <c r="U25" s="77">
        <v>-1</v>
      </c>
      <c r="V25" s="134">
        <f t="shared" si="0"/>
        <v>-55.000000000000007</v>
      </c>
      <c r="W25" s="47"/>
      <c r="X25" s="24"/>
      <c r="Z25" s="46"/>
      <c r="AA25" s="288"/>
      <c r="AB25" s="288"/>
      <c r="AC25" s="291"/>
      <c r="AD25" s="288"/>
      <c r="AE25" s="46"/>
    </row>
    <row r="26" spans="1:39">
      <c r="B26" s="96"/>
      <c r="C26" s="234"/>
      <c r="D26" s="12"/>
      <c r="E26" s="12"/>
      <c r="F26" s="96"/>
      <c r="G26" s="11"/>
      <c r="H26" s="247"/>
      <c r="I26" s="243"/>
      <c r="J26" s="199"/>
      <c r="K26" s="199"/>
      <c r="L26" s="199"/>
      <c r="M26" s="199"/>
      <c r="N26" s="196"/>
      <c r="O26" s="63"/>
      <c r="Q26" s="47"/>
      <c r="R26" s="134"/>
      <c r="S26" s="134"/>
      <c r="T26" s="134"/>
      <c r="U26" s="77"/>
      <c r="V26" s="134"/>
      <c r="W26" s="47"/>
      <c r="Z26" s="46"/>
      <c r="AA26" s="288">
        <v>4</v>
      </c>
      <c r="AB26" s="288" t="s">
        <v>211</v>
      </c>
      <c r="AC26" s="291">
        <f>50/50</f>
        <v>1</v>
      </c>
      <c r="AD26" s="295">
        <v>22</v>
      </c>
      <c r="AE26" s="46"/>
    </row>
    <row r="27" spans="1:39">
      <c r="B27" s="96"/>
      <c r="C27" s="100"/>
      <c r="D27" s="218"/>
      <c r="E27" s="239"/>
      <c r="F27" s="239"/>
      <c r="G27" s="26"/>
      <c r="H27" s="64"/>
      <c r="I27" s="244">
        <v>3</v>
      </c>
      <c r="J27" s="200">
        <v>40</v>
      </c>
      <c r="K27" s="200">
        <v>0.75</v>
      </c>
      <c r="L27" s="200">
        <v>0.73</v>
      </c>
      <c r="M27" s="200">
        <v>0.71</v>
      </c>
      <c r="N27" s="202">
        <v>0.69</v>
      </c>
      <c r="O27" s="63"/>
      <c r="Q27" s="47"/>
      <c r="R27" s="134" t="s">
        <v>252</v>
      </c>
      <c r="S27" s="134">
        <f>Tests!O24</f>
        <v>1.5</v>
      </c>
      <c r="T27" s="134">
        <f>S27*100/$S$41</f>
        <v>15.000000000000004</v>
      </c>
      <c r="U27" s="77">
        <v>1</v>
      </c>
      <c r="V27" s="134">
        <f t="shared" si="0"/>
        <v>15.000000000000004</v>
      </c>
      <c r="W27" s="47"/>
      <c r="Z27" s="46"/>
      <c r="AA27" s="288"/>
      <c r="AB27" s="288"/>
      <c r="AC27" s="291"/>
      <c r="AD27" s="288"/>
      <c r="AE27" s="46"/>
    </row>
    <row r="28" spans="1:39" ht="15.75" thickBot="1">
      <c r="B28" s="467" t="s">
        <v>127</v>
      </c>
      <c r="C28" s="467"/>
      <c r="D28" s="467"/>
      <c r="E28" s="12"/>
      <c r="F28" s="12"/>
      <c r="G28" s="11"/>
      <c r="H28" s="247"/>
      <c r="I28" s="63"/>
      <c r="J28" s="63"/>
      <c r="K28" s="63"/>
      <c r="L28" s="63"/>
      <c r="M28" s="63"/>
      <c r="N28" s="63"/>
      <c r="O28" s="63"/>
      <c r="Q28" s="47"/>
      <c r="R28" s="134"/>
      <c r="S28" s="134"/>
      <c r="T28" s="134"/>
      <c r="U28" s="77"/>
      <c r="V28" s="134"/>
      <c r="W28" s="47"/>
      <c r="Z28" s="46"/>
      <c r="AA28" s="288">
        <v>5</v>
      </c>
      <c r="AB28" s="288" t="s">
        <v>212</v>
      </c>
      <c r="AC28" s="291">
        <f>60/40</f>
        <v>1.5</v>
      </c>
      <c r="AD28" s="295">
        <v>23</v>
      </c>
      <c r="AE28" s="46"/>
    </row>
    <row r="29" spans="1:39" ht="16.5" thickTop="1" thickBot="1">
      <c r="B29" s="467"/>
      <c r="C29" s="467"/>
      <c r="D29" s="467"/>
      <c r="E29" s="218"/>
      <c r="F29" s="218"/>
      <c r="H29" s="63"/>
      <c r="I29" s="63"/>
      <c r="J29" s="63"/>
      <c r="K29" s="63"/>
      <c r="L29" s="63"/>
      <c r="M29" s="63"/>
      <c r="N29" s="63"/>
      <c r="O29" s="63"/>
      <c r="Q29" s="47"/>
      <c r="R29" s="134" t="s">
        <v>251</v>
      </c>
      <c r="S29" s="134">
        <f>Tests!O26</f>
        <v>0.7</v>
      </c>
      <c r="T29" s="134">
        <f>S29*100/$S$41</f>
        <v>7.0000000000000009</v>
      </c>
      <c r="U29" s="77">
        <v>4</v>
      </c>
      <c r="V29" s="134">
        <f t="shared" si="0"/>
        <v>28.000000000000004</v>
      </c>
      <c r="W29" s="47"/>
      <c r="Z29" s="46"/>
      <c r="AA29" s="288"/>
      <c r="AB29" s="288"/>
      <c r="AC29" s="291"/>
      <c r="AD29" s="288"/>
      <c r="AE29" s="46"/>
    </row>
    <row r="30" spans="1:39" ht="15.75" thickTop="1">
      <c r="B30" s="96"/>
      <c r="C30" s="357"/>
      <c r="D30" s="357"/>
      <c r="E30" s="12"/>
      <c r="F30" s="12"/>
      <c r="Q30" s="47"/>
      <c r="R30" s="134"/>
      <c r="S30" s="134"/>
      <c r="T30" s="134"/>
      <c r="U30" s="77"/>
      <c r="V30" s="134"/>
      <c r="W30" s="47"/>
      <c r="Z30" s="46"/>
      <c r="AA30" s="288">
        <v>6</v>
      </c>
      <c r="AB30" s="288" t="s">
        <v>213</v>
      </c>
      <c r="AC30" s="291">
        <f>70/30</f>
        <v>2.3333333333333335</v>
      </c>
      <c r="AD30" s="295">
        <v>24</v>
      </c>
      <c r="AE30" s="46"/>
    </row>
    <row r="31" spans="1:39" s="13" customFormat="1">
      <c r="A31" s="24"/>
      <c r="B31" s="96"/>
      <c r="C31" s="235"/>
      <c r="D31" s="235"/>
      <c r="E31" s="96"/>
      <c r="F31" s="96"/>
      <c r="G31" s="24"/>
      <c r="O31" s="24"/>
      <c r="P31"/>
      <c r="Q31" s="47"/>
      <c r="R31" s="134" t="s">
        <v>250</v>
      </c>
      <c r="S31" s="134">
        <f>Tests!O28</f>
        <v>0.7</v>
      </c>
      <c r="T31" s="134">
        <f>S31*100/$S$41</f>
        <v>7.0000000000000009</v>
      </c>
      <c r="U31" s="77">
        <v>7</v>
      </c>
      <c r="V31" s="134">
        <f t="shared" si="0"/>
        <v>49.000000000000007</v>
      </c>
      <c r="W31" s="47"/>
      <c r="X31" s="24"/>
      <c r="Z31" s="46"/>
      <c r="AA31" s="288"/>
      <c r="AB31" s="288"/>
      <c r="AC31" s="291"/>
      <c r="AD31" s="288"/>
      <c r="AE31" s="46"/>
    </row>
    <row r="32" spans="1:39">
      <c r="B32" s="96"/>
      <c r="C32" s="533" t="s">
        <v>120</v>
      </c>
      <c r="D32" s="533"/>
      <c r="E32" s="297">
        <f>WC!E51</f>
        <v>0.5</v>
      </c>
      <c r="F32" s="96"/>
      <c r="I32" s="13"/>
      <c r="J32" s="13"/>
      <c r="K32" s="13"/>
      <c r="L32" s="13"/>
      <c r="M32" s="13"/>
      <c r="N32" s="13"/>
      <c r="Q32" s="47"/>
      <c r="R32" s="134"/>
      <c r="S32" s="134"/>
      <c r="T32" s="134"/>
      <c r="U32" s="77"/>
      <c r="V32" s="134"/>
      <c r="W32" s="47"/>
      <c r="Z32" s="46"/>
      <c r="AA32" s="288">
        <v>7</v>
      </c>
      <c r="AB32" s="288" t="s">
        <v>214</v>
      </c>
      <c r="AC32" s="291">
        <f>80/20</f>
        <v>4</v>
      </c>
      <c r="AD32" s="295">
        <v>26</v>
      </c>
      <c r="AE32" s="46"/>
    </row>
    <row r="33" spans="1:35">
      <c r="B33" s="96"/>
      <c r="C33" s="234"/>
      <c r="D33" s="96"/>
      <c r="E33" s="234"/>
      <c r="F33" s="96"/>
      <c r="Q33" s="47"/>
      <c r="R33" s="134" t="s">
        <v>249</v>
      </c>
      <c r="S33" s="134">
        <f>Tests!O30</f>
        <v>0.7</v>
      </c>
      <c r="T33" s="134">
        <f>S33*100/$S$41</f>
        <v>7.0000000000000009</v>
      </c>
      <c r="U33" s="77">
        <v>9</v>
      </c>
      <c r="V33" s="134">
        <f t="shared" si="0"/>
        <v>63.000000000000007</v>
      </c>
      <c r="W33" s="47"/>
      <c r="Z33" s="46"/>
      <c r="AA33" s="289"/>
      <c r="AB33" s="290"/>
      <c r="AC33" s="290"/>
      <c r="AD33" s="290"/>
      <c r="AE33" s="46"/>
    </row>
    <row r="34" spans="1:35" s="13" customFormat="1">
      <c r="A34" s="24"/>
      <c r="B34" s="96"/>
      <c r="C34" s="234"/>
      <c r="D34" s="96"/>
      <c r="E34" s="234"/>
      <c r="F34" s="96"/>
      <c r="G34" s="24"/>
      <c r="I34"/>
      <c r="J34"/>
      <c r="K34"/>
      <c r="L34"/>
      <c r="M34"/>
      <c r="N34"/>
      <c r="O34" s="24"/>
      <c r="P34"/>
      <c r="Q34" s="47"/>
      <c r="R34" s="134"/>
      <c r="S34" s="134"/>
      <c r="T34" s="134"/>
      <c r="U34" s="77"/>
      <c r="V34" s="134"/>
      <c r="W34" s="47"/>
      <c r="X34" s="24"/>
      <c r="Z34" s="46"/>
      <c r="AA34" s="46"/>
      <c r="AB34" s="46"/>
      <c r="AC34" s="46"/>
      <c r="AD34" s="46"/>
      <c r="AE34" s="46"/>
    </row>
    <row r="35" spans="1:35" s="13" customFormat="1">
      <c r="A35" s="24"/>
      <c r="B35" s="96"/>
      <c r="C35" s="533" t="s">
        <v>121</v>
      </c>
      <c r="D35" s="533"/>
      <c r="E35" s="297">
        <f>0.01*(0.5-E32)/0.05</f>
        <v>0</v>
      </c>
      <c r="F35" s="96"/>
      <c r="G35" s="24"/>
      <c r="I35"/>
      <c r="J35"/>
      <c r="K35"/>
      <c r="L35"/>
      <c r="M35"/>
      <c r="N35"/>
      <c r="O35" s="24"/>
      <c r="P35"/>
      <c r="Q35" s="47"/>
      <c r="R35" s="134" t="s">
        <v>248</v>
      </c>
      <c r="S35" s="134">
        <f>Tests!O32</f>
        <v>0.7</v>
      </c>
      <c r="T35" s="134">
        <f>S35*100/$S$41</f>
        <v>7.0000000000000009</v>
      </c>
      <c r="U35" s="77">
        <v>9</v>
      </c>
      <c r="V35" s="134">
        <f t="shared" si="0"/>
        <v>63.000000000000007</v>
      </c>
      <c r="W35" s="47"/>
      <c r="X35" s="24"/>
      <c r="Z35" s="46"/>
      <c r="AA35" s="46"/>
      <c r="AB35" s="46"/>
      <c r="AC35" s="46"/>
      <c r="AD35" s="46"/>
      <c r="AE35" s="46"/>
    </row>
    <row r="36" spans="1:35" ht="15" customHeight="1">
      <c r="B36" s="96"/>
      <c r="C36" s="234"/>
      <c r="D36" s="96"/>
      <c r="E36" s="234"/>
      <c r="F36" s="96"/>
      <c r="H36" s="96"/>
      <c r="I36" s="96"/>
      <c r="J36" s="96"/>
      <c r="K36" s="96"/>
      <c r="L36" s="96"/>
      <c r="M36" s="96"/>
      <c r="Q36" s="47"/>
      <c r="R36" s="134"/>
      <c r="S36" s="134"/>
      <c r="T36" s="134"/>
      <c r="U36" s="77"/>
      <c r="V36" s="134"/>
      <c r="W36" s="47"/>
      <c r="Z36" s="46"/>
      <c r="AA36" s="705" t="s">
        <v>408</v>
      </c>
      <c r="AB36" s="705"/>
      <c r="AC36" s="292" t="s">
        <v>204</v>
      </c>
      <c r="AD36" s="236">
        <v>1</v>
      </c>
      <c r="AE36" s="46"/>
    </row>
    <row r="37" spans="1:35" ht="15" customHeight="1">
      <c r="B37" s="96"/>
      <c r="C37" s="234"/>
      <c r="D37" s="96"/>
      <c r="E37" s="234"/>
      <c r="F37" s="96"/>
      <c r="H37" s="96"/>
      <c r="I37" s="701" t="s">
        <v>405</v>
      </c>
      <c r="J37" s="706"/>
      <c r="K37" s="252" t="s">
        <v>204</v>
      </c>
      <c r="L37" s="284">
        <f>E54</f>
        <v>0.64</v>
      </c>
      <c r="M37" s="96"/>
      <c r="Q37" s="47"/>
      <c r="R37" s="134" t="s">
        <v>256</v>
      </c>
      <c r="S37" s="134">
        <f>Tests!O34</f>
        <v>0.2</v>
      </c>
      <c r="T37" s="134">
        <f>S37*100/$S$41</f>
        <v>2.0000000000000004</v>
      </c>
      <c r="U37" s="77">
        <v>7</v>
      </c>
      <c r="V37" s="134">
        <f t="shared" si="0"/>
        <v>14.000000000000004</v>
      </c>
      <c r="W37" s="47"/>
      <c r="Z37" s="46"/>
      <c r="AA37" s="705"/>
      <c r="AB37" s="705"/>
      <c r="AC37" s="293" t="s">
        <v>205</v>
      </c>
      <c r="AD37" s="236">
        <f>1/(LOOKUP(0.5*MATCH(MIN(AD20,AD22,AD24,AD26,AD28,AD30,AD32),AD19:AD32,0),AA20:AA32,AC20:AC32))</f>
        <v>1</v>
      </c>
      <c r="AE37" s="46"/>
    </row>
    <row r="38" spans="1:35">
      <c r="B38" s="96"/>
      <c r="C38" s="533" t="s">
        <v>122</v>
      </c>
      <c r="D38" s="533"/>
      <c r="E38" s="297">
        <f>E24+E35</f>
        <v>0.64</v>
      </c>
      <c r="F38" s="96"/>
      <c r="H38" s="96"/>
      <c r="I38" s="707"/>
      <c r="J38" s="708"/>
      <c r="K38" s="251" t="s">
        <v>266</v>
      </c>
      <c r="L38" s="284">
        <f>1-L37</f>
        <v>0.36</v>
      </c>
      <c r="M38" s="96"/>
      <c r="N38" s="13"/>
      <c r="Q38" s="47"/>
      <c r="R38" s="134"/>
      <c r="S38" s="134"/>
      <c r="T38" s="134"/>
      <c r="U38" s="77"/>
      <c r="V38" s="134"/>
      <c r="W38" s="47"/>
      <c r="Z38" s="46"/>
      <c r="AA38" s="46"/>
      <c r="AB38" s="46"/>
      <c r="AC38" s="46"/>
      <c r="AD38" s="46"/>
      <c r="AE38" s="46"/>
    </row>
    <row r="39" spans="1:35">
      <c r="B39" s="96"/>
      <c r="C39" s="100"/>
      <c r="D39" s="100"/>
      <c r="E39" s="96"/>
      <c r="F39" s="96"/>
      <c r="H39" s="96"/>
      <c r="I39" s="96"/>
      <c r="J39" s="96"/>
      <c r="K39" s="96"/>
      <c r="L39" s="96"/>
      <c r="M39" s="96"/>
      <c r="Q39" s="47"/>
      <c r="R39" s="134" t="s">
        <v>257</v>
      </c>
      <c r="S39" s="263">
        <f>Tests!O36</f>
        <v>0</v>
      </c>
      <c r="T39" s="134">
        <f>S39*100/$S$41</f>
        <v>0</v>
      </c>
      <c r="U39" s="263">
        <v>2</v>
      </c>
      <c r="V39" s="134">
        <f t="shared" si="0"/>
        <v>0</v>
      </c>
      <c r="W39" s="47"/>
      <c r="Z39" s="46"/>
      <c r="AA39" s="46"/>
      <c r="AB39" s="46"/>
      <c r="AC39" s="45"/>
      <c r="AD39" s="45"/>
      <c r="AE39" s="46"/>
    </row>
    <row r="40" spans="1:35" s="24" customFormat="1">
      <c r="C40" s="31"/>
      <c r="D40" s="31"/>
      <c r="I40"/>
      <c r="J40"/>
      <c r="K40"/>
      <c r="L40"/>
      <c r="M40"/>
      <c r="N40"/>
      <c r="P40"/>
      <c r="Q40" s="127"/>
      <c r="R40" s="261"/>
      <c r="S40" s="261"/>
      <c r="T40" s="261"/>
      <c r="U40" s="261"/>
      <c r="V40" s="261"/>
      <c r="W40" s="47"/>
      <c r="Z40" s="46"/>
      <c r="AA40" s="701" t="s">
        <v>406</v>
      </c>
      <c r="AB40" s="702"/>
      <c r="AC40" s="252" t="s">
        <v>204</v>
      </c>
      <c r="AD40" s="39">
        <f>AD36/(AD36+AD37)</f>
        <v>0.5</v>
      </c>
      <c r="AE40" s="46"/>
    </row>
    <row r="41" spans="1:35" ht="15.75" customHeight="1">
      <c r="B41" s="24"/>
      <c r="C41" s="31"/>
      <c r="D41" s="31"/>
      <c r="I41" s="13"/>
      <c r="J41" s="13"/>
      <c r="K41" s="13"/>
      <c r="L41" s="13"/>
      <c r="M41" s="13"/>
      <c r="N41" s="13"/>
      <c r="Q41" s="127"/>
      <c r="R41" s="133"/>
      <c r="S41" s="680">
        <f>SUM(S21:S39)</f>
        <v>9.9999999999999982</v>
      </c>
      <c r="T41" s="133"/>
      <c r="U41" s="77"/>
      <c r="V41" s="709">
        <f>SUM(V21:V39)</f>
        <v>177.00000000000003</v>
      </c>
      <c r="W41" s="47"/>
      <c r="Z41" s="46"/>
      <c r="AA41" s="703"/>
      <c r="AB41" s="704"/>
      <c r="AC41" s="251" t="s">
        <v>266</v>
      </c>
      <c r="AD41" s="39">
        <f>AD37/(AD36+AD37)</f>
        <v>0.5</v>
      </c>
      <c r="AE41" s="46"/>
      <c r="AI41" s="294"/>
    </row>
    <row r="42" spans="1:35" ht="15.75" customHeight="1">
      <c r="B42" s="96"/>
      <c r="C42" s="100"/>
      <c r="D42" s="100"/>
      <c r="E42" s="96"/>
      <c r="F42" s="96"/>
      <c r="I42" s="13"/>
      <c r="J42" s="13"/>
      <c r="K42" s="13"/>
      <c r="L42" s="13"/>
      <c r="M42" s="13"/>
      <c r="N42" s="13"/>
      <c r="Q42" s="127"/>
      <c r="R42" s="261" t="s">
        <v>194</v>
      </c>
      <c r="S42" s="691"/>
      <c r="T42" s="261"/>
      <c r="U42" s="77"/>
      <c r="V42" s="710"/>
      <c r="W42" s="47"/>
      <c r="Z42" s="46"/>
      <c r="AA42" s="46"/>
      <c r="AB42" s="46"/>
      <c r="AC42" s="46"/>
      <c r="AD42" s="46"/>
      <c r="AE42" s="46"/>
    </row>
    <row r="43" spans="1:35" ht="15.75" customHeight="1" thickBot="1">
      <c r="B43" s="467" t="s">
        <v>128</v>
      </c>
      <c r="C43" s="467"/>
      <c r="D43" s="467"/>
      <c r="E43" s="96"/>
      <c r="F43" s="96"/>
      <c r="Q43" s="47"/>
      <c r="R43" s="77"/>
      <c r="S43" s="77"/>
      <c r="T43" s="77"/>
      <c r="U43" s="133"/>
      <c r="V43" s="257"/>
      <c r="W43" s="47"/>
    </row>
    <row r="44" spans="1:35" ht="15" customHeight="1" thickTop="1" thickBot="1">
      <c r="B44" s="467"/>
      <c r="C44" s="467"/>
      <c r="D44" s="467"/>
      <c r="E44" s="96"/>
      <c r="F44" s="96"/>
      <c r="Q44" s="47"/>
      <c r="R44" s="47"/>
      <c r="S44" s="47"/>
      <c r="T44" s="47"/>
      <c r="U44" s="261" t="s">
        <v>195</v>
      </c>
      <c r="V44" s="259">
        <v>330</v>
      </c>
      <c r="W44" s="47"/>
    </row>
    <row r="45" spans="1:35" ht="15" customHeight="1" thickTop="1">
      <c r="B45" s="96"/>
      <c r="C45" s="12"/>
      <c r="D45" s="12"/>
      <c r="E45" s="96"/>
      <c r="F45" s="96"/>
      <c r="Q45" s="47"/>
      <c r="R45" s="679" t="s">
        <v>198</v>
      </c>
      <c r="S45" s="679"/>
      <c r="T45" s="682">
        <f>V46/1000</f>
        <v>0.50700000000000001</v>
      </c>
      <c r="U45" s="268"/>
      <c r="V45" s="267"/>
      <c r="W45" s="47"/>
      <c r="AA45" s="13"/>
    </row>
    <row r="46" spans="1:35" s="17" customFormat="1">
      <c r="A46" s="24"/>
      <c r="B46" s="96"/>
      <c r="C46" s="12"/>
      <c r="D46" s="12"/>
      <c r="E46" s="96"/>
      <c r="F46" s="96"/>
      <c r="G46" s="24"/>
      <c r="I46"/>
      <c r="J46"/>
      <c r="K46"/>
      <c r="L46"/>
      <c r="M46"/>
      <c r="N46"/>
      <c r="O46" s="24"/>
      <c r="P46"/>
      <c r="Q46" s="47"/>
      <c r="R46" s="679"/>
      <c r="S46" s="679"/>
      <c r="T46" s="682"/>
      <c r="U46" s="261" t="s">
        <v>194</v>
      </c>
      <c r="V46" s="259">
        <f>V41+V44</f>
        <v>507</v>
      </c>
      <c r="W46" s="47"/>
      <c r="X46" s="24"/>
      <c r="AA46"/>
      <c r="AB46" s="13"/>
      <c r="AC46" s="13"/>
      <c r="AD46" s="13"/>
    </row>
    <row r="47" spans="1:35" s="17" customFormat="1">
      <c r="A47" s="24"/>
      <c r="B47" s="96"/>
      <c r="C47" s="533" t="s">
        <v>125</v>
      </c>
      <c r="D47" s="584"/>
      <c r="E47" s="297" t="str">
        <f>Master!E18</f>
        <v>No</v>
      </c>
      <c r="F47" s="96"/>
      <c r="G47" s="24"/>
      <c r="I47" s="24"/>
      <c r="J47" s="24"/>
      <c r="K47" s="24"/>
      <c r="L47" s="24"/>
      <c r="M47" s="24"/>
      <c r="N47" s="24"/>
      <c r="O47" s="24"/>
      <c r="P47"/>
      <c r="Q47" s="47"/>
      <c r="R47" s="77"/>
      <c r="S47" s="44"/>
      <c r="T47" s="44"/>
      <c r="U47" s="77"/>
      <c r="V47" s="77"/>
      <c r="W47" s="47"/>
      <c r="X47" s="24"/>
      <c r="AA47"/>
      <c r="AB47" s="13"/>
      <c r="AC47" s="13"/>
      <c r="AD47" s="13"/>
    </row>
    <row r="48" spans="1:35">
      <c r="B48" s="96"/>
      <c r="C48" s="441"/>
      <c r="D48" s="442"/>
      <c r="E48" s="234"/>
      <c r="F48" s="96"/>
      <c r="Q48" s="47"/>
      <c r="R48" s="77"/>
      <c r="S48" s="44"/>
      <c r="T48" s="44"/>
      <c r="U48" s="44"/>
      <c r="V48" s="44"/>
      <c r="W48" s="47"/>
    </row>
    <row r="49" spans="2:30" ht="15.75" thickBot="1">
      <c r="B49" s="96"/>
      <c r="C49" s="441"/>
      <c r="D49" s="442"/>
      <c r="E49" s="234"/>
      <c r="F49" s="96"/>
      <c r="Q49" s="47"/>
      <c r="R49" s="468" t="s">
        <v>295</v>
      </c>
      <c r="S49" s="468"/>
      <c r="T49" s="43"/>
      <c r="U49" s="43"/>
      <c r="V49" s="43"/>
      <c r="W49" s="47"/>
    </row>
    <row r="50" spans="2:30" ht="16.5" thickTop="1" thickBot="1">
      <c r="B50" s="96"/>
      <c r="C50" s="441"/>
      <c r="D50" s="442"/>
      <c r="E50" s="12"/>
      <c r="F50" s="96"/>
      <c r="Q50" s="47"/>
      <c r="R50" s="468"/>
      <c r="S50" s="468"/>
      <c r="T50" s="43"/>
      <c r="U50" s="43"/>
      <c r="V50" s="43"/>
      <c r="W50" s="47"/>
      <c r="AA50" s="24"/>
    </row>
    <row r="51" spans="2:30" s="24" customFormat="1" ht="18" thickTop="1">
      <c r="B51" s="96"/>
      <c r="C51" s="533" t="s">
        <v>123</v>
      </c>
      <c r="D51" s="584"/>
      <c r="E51" s="298">
        <f>IF(E47="Yes",0.1*E38,0)</f>
        <v>0</v>
      </c>
      <c r="F51" s="96"/>
      <c r="Q51" s="47"/>
      <c r="R51" s="248"/>
      <c r="S51" s="249"/>
      <c r="T51" s="43"/>
      <c r="U51" s="43"/>
      <c r="V51" s="43"/>
      <c r="W51" s="47"/>
      <c r="AA51"/>
      <c r="AB51"/>
      <c r="AC51"/>
      <c r="AD51"/>
    </row>
    <row r="52" spans="2:30" ht="15" customHeight="1">
      <c r="B52" s="96"/>
      <c r="C52" s="441"/>
      <c r="D52" s="442"/>
      <c r="E52" s="296"/>
      <c r="F52" s="96"/>
      <c r="Q52" s="47"/>
      <c r="R52" s="256"/>
      <c r="S52" s="269"/>
      <c r="T52" s="269"/>
      <c r="U52" s="269"/>
      <c r="V52" s="266"/>
      <c r="W52" s="47"/>
      <c r="AB52" s="24"/>
      <c r="AC52" s="24"/>
      <c r="AD52" s="24"/>
    </row>
    <row r="53" spans="2:30" ht="15" customHeight="1">
      <c r="B53" s="96"/>
      <c r="C53" s="441"/>
      <c r="D53" s="442"/>
      <c r="E53" s="234"/>
      <c r="F53" s="96"/>
      <c r="Q53" s="47"/>
      <c r="R53" s="270" t="s">
        <v>263</v>
      </c>
      <c r="S53" s="43" t="s">
        <v>182</v>
      </c>
      <c r="T53" s="43" t="s">
        <v>265</v>
      </c>
      <c r="U53" s="43" t="s">
        <v>199</v>
      </c>
      <c r="V53" s="271" t="s">
        <v>196</v>
      </c>
      <c r="W53" s="47"/>
    </row>
    <row r="54" spans="2:30">
      <c r="B54" s="96"/>
      <c r="C54" s="533" t="s">
        <v>124</v>
      </c>
      <c r="D54" s="584"/>
      <c r="E54" s="298">
        <f>E38-E51</f>
        <v>0.64</v>
      </c>
      <c r="F54" s="96"/>
      <c r="I54" s="17"/>
      <c r="N54" s="17"/>
      <c r="Q54" s="47"/>
      <c r="R54" s="258"/>
      <c r="S54" s="272" t="s">
        <v>243</v>
      </c>
      <c r="T54" s="272" t="s">
        <v>110</v>
      </c>
      <c r="U54" s="272" t="s">
        <v>200</v>
      </c>
      <c r="V54" s="273" t="s">
        <v>197</v>
      </c>
      <c r="W54" s="47"/>
    </row>
    <row r="55" spans="2:30">
      <c r="B55" s="96"/>
      <c r="C55" s="234"/>
      <c r="D55" s="296"/>
      <c r="E55" s="96"/>
      <c r="F55" s="96"/>
      <c r="I55" s="17"/>
      <c r="N55" s="17"/>
      <c r="Q55" s="47"/>
      <c r="R55" s="133"/>
      <c r="S55" s="257"/>
      <c r="T55" s="77"/>
      <c r="U55" s="133"/>
      <c r="V55" s="133"/>
      <c r="W55" s="47"/>
    </row>
    <row r="56" spans="2:30">
      <c r="B56" s="96"/>
      <c r="C56" s="96"/>
      <c r="D56" s="96"/>
      <c r="E56" s="96"/>
      <c r="F56" s="96"/>
      <c r="J56" s="24"/>
      <c r="K56" s="24"/>
      <c r="L56" s="24"/>
      <c r="M56" s="24"/>
      <c r="Q56" s="47"/>
      <c r="R56" s="134" t="s">
        <v>184</v>
      </c>
      <c r="S56" s="263">
        <f>Tests!O48</f>
        <v>0</v>
      </c>
      <c r="T56" s="77">
        <f>100*S56/$S$65</f>
        <v>0</v>
      </c>
      <c r="U56" s="134">
        <v>-2.5</v>
      </c>
      <c r="V56" s="134">
        <f>T56*U56</f>
        <v>0</v>
      </c>
      <c r="W56" s="47"/>
      <c r="AA56" s="17"/>
    </row>
    <row r="57" spans="2:30">
      <c r="I57" s="23"/>
      <c r="J57" s="23"/>
      <c r="K57" s="23"/>
      <c r="L57" s="23"/>
      <c r="M57" s="23"/>
      <c r="N57" s="23"/>
      <c r="Q57" s="47"/>
      <c r="R57" s="134"/>
      <c r="S57" s="263"/>
      <c r="T57" s="77"/>
      <c r="U57" s="134"/>
      <c r="V57" s="134"/>
      <c r="W57" s="47"/>
      <c r="AA57" s="17"/>
    </row>
    <row r="58" spans="2:30">
      <c r="I58" s="23"/>
      <c r="J58" s="690"/>
      <c r="K58" s="690"/>
      <c r="L58" s="690"/>
      <c r="M58" s="690"/>
      <c r="N58" s="23"/>
      <c r="Q58" s="47"/>
      <c r="R58" s="134" t="s">
        <v>185</v>
      </c>
      <c r="S58" s="263">
        <f>Tests!O50</f>
        <v>0</v>
      </c>
      <c r="T58" s="77">
        <f>100*S58/$S$65</f>
        <v>0</v>
      </c>
      <c r="U58" s="134">
        <v>-2</v>
      </c>
      <c r="V58" s="134">
        <f t="shared" ref="V58:V62" si="1">T58*U58</f>
        <v>0</v>
      </c>
      <c r="W58" s="47"/>
      <c r="AB58" s="17"/>
      <c r="AC58" s="17"/>
      <c r="AD58" s="17"/>
    </row>
    <row r="59" spans="2:30">
      <c r="B59" s="17"/>
      <c r="I59" s="23"/>
      <c r="J59" s="690"/>
      <c r="K59" s="690"/>
      <c r="L59" s="690"/>
      <c r="M59" s="690"/>
      <c r="N59" s="23"/>
      <c r="Q59" s="47"/>
      <c r="R59" s="134"/>
      <c r="S59" s="263"/>
      <c r="T59" s="77"/>
      <c r="U59" s="134"/>
      <c r="V59" s="134"/>
      <c r="W59" s="47"/>
      <c r="AB59" s="17"/>
      <c r="AC59" s="17"/>
      <c r="AD59" s="17"/>
    </row>
    <row r="60" spans="2:30">
      <c r="B60" s="17"/>
      <c r="I60" s="23"/>
      <c r="J60" s="23"/>
      <c r="K60" s="23"/>
      <c r="L60" s="23"/>
      <c r="M60" s="23"/>
      <c r="N60" s="23"/>
      <c r="Q60" s="47"/>
      <c r="R60" s="134" t="s">
        <v>186</v>
      </c>
      <c r="S60" s="263">
        <f>Tests!O52</f>
        <v>5.5</v>
      </c>
      <c r="T60" s="250">
        <f>100*S60/$S$65</f>
        <v>78.571428571428569</v>
      </c>
      <c r="U60" s="134">
        <v>-1</v>
      </c>
      <c r="V60" s="275">
        <f t="shared" si="1"/>
        <v>-78.571428571428569</v>
      </c>
      <c r="W60" s="47"/>
    </row>
    <row r="61" spans="2:30" ht="16.5" customHeight="1">
      <c r="C61" s="17"/>
      <c r="D61" s="17"/>
      <c r="Q61" s="47"/>
      <c r="R61" s="134"/>
      <c r="S61" s="263"/>
      <c r="T61" s="250"/>
      <c r="U61" s="134"/>
      <c r="V61" s="275"/>
      <c r="W61" s="47"/>
      <c r="AA61" s="24"/>
    </row>
    <row r="62" spans="2:30" ht="15.75" customHeight="1">
      <c r="C62" s="17"/>
      <c r="D62" s="17"/>
      <c r="Q62" s="47"/>
      <c r="R62" s="134" t="s">
        <v>187</v>
      </c>
      <c r="S62" s="263">
        <f>Tests!O54</f>
        <v>1.5</v>
      </c>
      <c r="T62" s="250">
        <f>100*S62/$S$65</f>
        <v>21.428571428571427</v>
      </c>
      <c r="U62" s="134">
        <v>1</v>
      </c>
      <c r="V62" s="275">
        <f t="shared" si="1"/>
        <v>21.428571428571427</v>
      </c>
      <c r="W62" s="47"/>
    </row>
    <row r="63" spans="2:30" ht="18" customHeight="1">
      <c r="Q63" s="47"/>
      <c r="R63" s="261"/>
      <c r="S63" s="259"/>
      <c r="T63" s="261"/>
      <c r="U63" s="261"/>
      <c r="V63" s="276"/>
      <c r="W63" s="47"/>
      <c r="AB63" s="24"/>
      <c r="AC63" s="24"/>
      <c r="AD63" s="24"/>
    </row>
    <row r="64" spans="2:30">
      <c r="Q64" s="47"/>
      <c r="R64" s="133"/>
      <c r="S64" s="133"/>
      <c r="T64" s="257"/>
      <c r="U64" s="77"/>
      <c r="V64" s="277"/>
      <c r="W64" s="47"/>
    </row>
    <row r="65" spans="17:23">
      <c r="Q65" s="47"/>
      <c r="R65" s="261" t="s">
        <v>194</v>
      </c>
      <c r="S65" s="261">
        <f>SUM(S56:S62)</f>
        <v>7</v>
      </c>
      <c r="T65" s="261"/>
      <c r="U65" s="77"/>
      <c r="V65" s="275">
        <f>SUM(V56:V62)</f>
        <v>-57.142857142857139</v>
      </c>
      <c r="W65" s="47"/>
    </row>
    <row r="66" spans="17:23" ht="15" customHeight="1">
      <c r="Q66" s="47"/>
      <c r="R66" s="77"/>
      <c r="S66" s="77"/>
      <c r="T66" s="263"/>
      <c r="U66" s="257"/>
      <c r="V66" s="274"/>
      <c r="W66" s="47"/>
    </row>
    <row r="67" spans="17:23" ht="15" customHeight="1">
      <c r="Q67" s="47"/>
      <c r="R67" s="77"/>
      <c r="S67" s="77"/>
      <c r="T67" s="77"/>
      <c r="U67" s="261" t="s">
        <v>195</v>
      </c>
      <c r="V67" s="259">
        <v>330</v>
      </c>
      <c r="W67" s="47"/>
    </row>
    <row r="68" spans="17:23" ht="15.75" customHeight="1">
      <c r="Q68" s="47"/>
      <c r="R68" s="679" t="s">
        <v>198</v>
      </c>
      <c r="S68" s="679"/>
      <c r="T68" s="678">
        <f>V69/1000</f>
        <v>0.27285714285714291</v>
      </c>
      <c r="U68" s="268"/>
      <c r="V68" s="268"/>
      <c r="W68" s="47"/>
    </row>
    <row r="69" spans="17:23" ht="15.75" customHeight="1">
      <c r="Q69" s="47"/>
      <c r="R69" s="679"/>
      <c r="S69" s="679"/>
      <c r="T69" s="678"/>
      <c r="U69" s="261" t="s">
        <v>194</v>
      </c>
      <c r="V69" s="276">
        <f>V65+V67</f>
        <v>272.85714285714289</v>
      </c>
      <c r="W69" s="47"/>
    </row>
    <row r="70" spans="17:23">
      <c r="Q70" s="47"/>
      <c r="R70" s="77"/>
      <c r="S70" s="44"/>
      <c r="T70" s="44"/>
      <c r="U70" s="44"/>
      <c r="V70" s="44"/>
      <c r="W70" s="47"/>
    </row>
    <row r="71" spans="17:23">
      <c r="Q71" s="47"/>
      <c r="R71" s="77"/>
      <c r="S71" s="44"/>
      <c r="T71" s="44"/>
      <c r="U71" s="43"/>
      <c r="V71" s="43"/>
      <c r="W71" s="47"/>
    </row>
    <row r="72" spans="17:23" ht="15.75" thickBot="1">
      <c r="Q72" s="47"/>
      <c r="R72" s="467" t="s">
        <v>261</v>
      </c>
      <c r="S72" s="467"/>
      <c r="T72" s="43"/>
      <c r="U72" s="43"/>
      <c r="V72" s="43"/>
      <c r="W72" s="47"/>
    </row>
    <row r="73" spans="17:23" ht="16.5" thickTop="1" thickBot="1">
      <c r="Q73" s="47"/>
      <c r="R73" s="467"/>
      <c r="S73" s="467"/>
      <c r="T73" s="43"/>
      <c r="U73" s="77"/>
      <c r="V73" s="77"/>
      <c r="W73" s="47"/>
    </row>
    <row r="74" spans="17:23" ht="18" thickTop="1">
      <c r="Q74" s="47"/>
      <c r="R74" s="249"/>
      <c r="S74" s="249"/>
      <c r="T74" s="43"/>
      <c r="U74" s="77"/>
      <c r="V74" s="77"/>
      <c r="W74" s="47"/>
    </row>
    <row r="75" spans="17:23">
      <c r="Q75" s="47"/>
      <c r="R75" s="260"/>
      <c r="S75" s="133"/>
      <c r="T75" s="133"/>
      <c r="U75" s="133"/>
      <c r="V75" s="133"/>
      <c r="W75" s="47"/>
    </row>
    <row r="76" spans="17:23" ht="16.5" customHeight="1">
      <c r="Q76" s="47"/>
      <c r="R76" s="265" t="s">
        <v>201</v>
      </c>
      <c r="S76" s="134" t="s">
        <v>182</v>
      </c>
      <c r="T76" s="134" t="s">
        <v>258</v>
      </c>
      <c r="U76" s="134" t="s">
        <v>199</v>
      </c>
      <c r="V76" s="134" t="s">
        <v>196</v>
      </c>
      <c r="W76" s="47"/>
    </row>
    <row r="77" spans="17:23" ht="15" customHeight="1">
      <c r="Q77" s="47"/>
      <c r="R77" s="262"/>
      <c r="S77" s="261" t="s">
        <v>243</v>
      </c>
      <c r="T77" s="261" t="s">
        <v>202</v>
      </c>
      <c r="U77" s="261" t="s">
        <v>200</v>
      </c>
      <c r="V77" s="261" t="s">
        <v>197</v>
      </c>
      <c r="W77" s="47"/>
    </row>
    <row r="78" spans="17:23" ht="18" customHeight="1">
      <c r="Q78" s="47"/>
      <c r="R78" s="260"/>
      <c r="S78" s="133"/>
      <c r="T78" s="133"/>
      <c r="U78" s="133"/>
      <c r="V78" s="133"/>
      <c r="W78" s="47"/>
    </row>
    <row r="79" spans="17:23">
      <c r="Q79" s="47"/>
      <c r="R79" s="134" t="s">
        <v>188</v>
      </c>
      <c r="S79" s="134">
        <f>Tests!O66</f>
        <v>0.7</v>
      </c>
      <c r="T79" s="275">
        <f>S79*100/$S$92</f>
        <v>23.333333333333332</v>
      </c>
      <c r="U79" s="134">
        <v>4</v>
      </c>
      <c r="V79" s="275">
        <f>T79*U79</f>
        <v>93.333333333333329</v>
      </c>
      <c r="W79" s="47"/>
    </row>
    <row r="80" spans="17:23">
      <c r="Q80" s="47"/>
      <c r="R80" s="134"/>
      <c r="S80" s="134"/>
      <c r="T80" s="275"/>
      <c r="U80" s="134"/>
      <c r="V80" s="275"/>
      <c r="W80" s="47"/>
    </row>
    <row r="81" spans="2:23">
      <c r="Q81" s="47"/>
      <c r="R81" s="134" t="s">
        <v>189</v>
      </c>
      <c r="S81" s="134">
        <f>Tests!O68</f>
        <v>0.7</v>
      </c>
      <c r="T81" s="275">
        <f>S81*100/$S$92</f>
        <v>23.333333333333332</v>
      </c>
      <c r="U81" s="134">
        <v>7</v>
      </c>
      <c r="V81" s="275">
        <f>T81*U81</f>
        <v>163.33333333333331</v>
      </c>
      <c r="W81" s="47"/>
    </row>
    <row r="82" spans="2:23">
      <c r="B82" s="17"/>
      <c r="Q82" s="47"/>
      <c r="R82" s="134"/>
      <c r="S82" s="134"/>
      <c r="T82" s="275"/>
      <c r="U82" s="134"/>
      <c r="V82" s="275"/>
      <c r="W82" s="47"/>
    </row>
    <row r="83" spans="2:23">
      <c r="Q83" s="47"/>
      <c r="R83" s="134" t="s">
        <v>190</v>
      </c>
      <c r="S83" s="134">
        <f>Tests!O70</f>
        <v>0.7</v>
      </c>
      <c r="T83" s="275">
        <f>S83*100/$S$92</f>
        <v>23.333333333333332</v>
      </c>
      <c r="U83" s="134">
        <v>9</v>
      </c>
      <c r="V83" s="275">
        <f>T83*U83</f>
        <v>210</v>
      </c>
      <c r="W83" s="47"/>
    </row>
    <row r="84" spans="2:23">
      <c r="Q84" s="47"/>
      <c r="R84" s="134"/>
      <c r="S84" s="134"/>
      <c r="T84" s="275"/>
      <c r="U84" s="134"/>
      <c r="V84" s="275"/>
      <c r="W84" s="47"/>
    </row>
    <row r="85" spans="2:23">
      <c r="Q85" s="47"/>
      <c r="R85" s="134" t="s">
        <v>191</v>
      </c>
      <c r="S85" s="134">
        <f>Tests!O72</f>
        <v>0.7</v>
      </c>
      <c r="T85" s="275">
        <f>S85*100/$S$92</f>
        <v>23.333333333333332</v>
      </c>
      <c r="U85" s="134">
        <v>9</v>
      </c>
      <c r="V85" s="275">
        <f>T85*U85</f>
        <v>210</v>
      </c>
      <c r="W85" s="47"/>
    </row>
    <row r="86" spans="2:23" ht="15.75" customHeight="1">
      <c r="Q86" s="47"/>
      <c r="R86" s="134"/>
      <c r="S86" s="134"/>
      <c r="T86" s="275"/>
      <c r="U86" s="134"/>
      <c r="V86" s="275"/>
      <c r="W86" s="47"/>
    </row>
    <row r="87" spans="2:23" ht="15.75" customHeight="1">
      <c r="Q87" s="47"/>
      <c r="R87" s="134" t="s">
        <v>192</v>
      </c>
      <c r="S87" s="134">
        <f>Tests!O74</f>
        <v>0.2</v>
      </c>
      <c r="T87" s="275">
        <f>S87*100/$S$92</f>
        <v>6.666666666666667</v>
      </c>
      <c r="U87" s="134">
        <v>7</v>
      </c>
      <c r="V87" s="275">
        <f>T87*U87</f>
        <v>46.666666666666671</v>
      </c>
      <c r="W87" s="47"/>
    </row>
    <row r="88" spans="2:23">
      <c r="Q88" s="47"/>
      <c r="R88" s="134"/>
      <c r="S88" s="134"/>
      <c r="T88" s="275"/>
      <c r="U88" s="134"/>
      <c r="V88" s="275"/>
      <c r="W88" s="47"/>
    </row>
    <row r="89" spans="2:23">
      <c r="Q89" s="47"/>
      <c r="R89" s="134" t="s">
        <v>193</v>
      </c>
      <c r="S89" s="134">
        <f>Tests!O76</f>
        <v>0</v>
      </c>
      <c r="T89" s="275">
        <f>S89*100/$S$92</f>
        <v>0</v>
      </c>
      <c r="U89" s="134">
        <v>2</v>
      </c>
      <c r="V89" s="275">
        <f>T89*U89</f>
        <v>0</v>
      </c>
      <c r="W89" s="47"/>
    </row>
    <row r="90" spans="2:23">
      <c r="Q90" s="47"/>
      <c r="R90" s="261"/>
      <c r="S90" s="261"/>
      <c r="T90" s="276"/>
      <c r="U90" s="261"/>
      <c r="V90" s="276"/>
      <c r="W90" s="47"/>
    </row>
    <row r="91" spans="2:23">
      <c r="Q91" s="127"/>
      <c r="R91" s="133"/>
      <c r="S91" s="133"/>
      <c r="T91" s="133"/>
      <c r="U91" s="133"/>
      <c r="V91" s="133"/>
      <c r="W91" s="47"/>
    </row>
    <row r="92" spans="2:23">
      <c r="Q92" s="127"/>
      <c r="R92" s="261" t="s">
        <v>203</v>
      </c>
      <c r="S92" s="261">
        <f>SUM(S79:S89)</f>
        <v>3</v>
      </c>
      <c r="T92" s="261"/>
      <c r="U92" s="261"/>
      <c r="V92" s="276">
        <f>SUM(V79:V89)</f>
        <v>723.33333333333326</v>
      </c>
      <c r="W92" s="47"/>
    </row>
    <row r="93" spans="2:23" ht="18" customHeight="1">
      <c r="B93" s="16"/>
      <c r="Q93" s="47"/>
      <c r="R93" s="77"/>
      <c r="S93" s="77"/>
      <c r="T93" s="77"/>
      <c r="U93" s="133"/>
      <c r="V93" s="274"/>
      <c r="W93" s="47"/>
    </row>
    <row r="94" spans="2:23" ht="18" customHeight="1">
      <c r="Q94" s="47"/>
      <c r="R94" s="47"/>
      <c r="S94" s="47"/>
      <c r="T94" s="47"/>
      <c r="U94" s="261" t="s">
        <v>195</v>
      </c>
      <c r="V94" s="259">
        <v>330</v>
      </c>
      <c r="W94" s="47"/>
    </row>
    <row r="95" spans="2:23" ht="18" customHeight="1">
      <c r="Q95" s="47"/>
      <c r="R95" s="679" t="s">
        <v>198</v>
      </c>
      <c r="S95" s="679"/>
      <c r="T95" s="678">
        <f>V96/1000</f>
        <v>1.0533333333333332</v>
      </c>
      <c r="U95" s="133"/>
      <c r="V95" s="133"/>
      <c r="W95" s="47"/>
    </row>
    <row r="96" spans="2:23" ht="15.75" customHeight="1">
      <c r="H96" s="17"/>
      <c r="Q96" s="47"/>
      <c r="R96" s="679"/>
      <c r="S96" s="679"/>
      <c r="T96" s="678"/>
      <c r="U96" s="261" t="s">
        <v>194</v>
      </c>
      <c r="V96" s="276">
        <f>V92+V94</f>
        <v>1053.3333333333333</v>
      </c>
      <c r="W96" s="47"/>
    </row>
    <row r="97" spans="2:30">
      <c r="B97" s="16"/>
      <c r="H97" s="17"/>
      <c r="Q97" s="44"/>
      <c r="R97" s="77"/>
      <c r="S97" s="44"/>
      <c r="T97" s="44"/>
      <c r="U97" s="44"/>
      <c r="V97" s="44"/>
      <c r="W97" s="47"/>
    </row>
    <row r="98" spans="2:30">
      <c r="B98" s="16"/>
      <c r="H98" s="17"/>
      <c r="Q98" s="44"/>
      <c r="R98" s="77"/>
      <c r="S98" s="44"/>
      <c r="T98" s="255"/>
      <c r="U98" s="255"/>
      <c r="V98" s="255"/>
      <c r="W98" s="47"/>
    </row>
    <row r="99" spans="2:30">
      <c r="B99" s="16"/>
      <c r="Q99" s="44"/>
      <c r="R99" s="683" t="s">
        <v>406</v>
      </c>
      <c r="S99" s="684"/>
      <c r="T99" s="252" t="s">
        <v>204</v>
      </c>
      <c r="U99" s="253">
        <v>1</v>
      </c>
      <c r="V99" s="254">
        <f>U99/(U99+U100)</f>
        <v>0.3</v>
      </c>
      <c r="W99" s="47"/>
    </row>
    <row r="100" spans="2:30">
      <c r="B100" s="16"/>
      <c r="Q100" s="44"/>
      <c r="R100" s="685"/>
      <c r="S100" s="686"/>
      <c r="T100" s="251" t="s">
        <v>266</v>
      </c>
      <c r="U100" s="282">
        <f>1/((T45-T68)/(T95-T45))</f>
        <v>2.3333333333333335</v>
      </c>
      <c r="V100" s="283">
        <f>U100/(U99+U100)</f>
        <v>0.70000000000000007</v>
      </c>
      <c r="W100" s="47"/>
    </row>
    <row r="101" spans="2:30">
      <c r="B101" s="16"/>
      <c r="Q101" s="47"/>
      <c r="R101" s="47"/>
      <c r="S101" s="44"/>
      <c r="T101" s="44"/>
      <c r="U101" s="44"/>
      <c r="V101" s="44"/>
      <c r="W101" s="47"/>
    </row>
    <row r="102" spans="2:30">
      <c r="B102" s="16"/>
      <c r="Q102" s="47"/>
      <c r="R102" s="47"/>
      <c r="S102" s="47"/>
      <c r="T102" s="47"/>
      <c r="U102" s="47"/>
      <c r="V102" s="47"/>
      <c r="W102" s="47"/>
    </row>
    <row r="103" spans="2:30">
      <c r="B103" s="26"/>
      <c r="I103" s="17"/>
      <c r="J103" s="17"/>
      <c r="R103" s="24"/>
      <c r="S103" s="24"/>
      <c r="T103" s="24"/>
      <c r="U103" s="24"/>
      <c r="V103" s="24"/>
    </row>
    <row r="104" spans="2:30">
      <c r="B104" s="26"/>
      <c r="I104" s="17"/>
      <c r="J104" s="17"/>
      <c r="R104" s="24"/>
      <c r="S104" s="24"/>
      <c r="T104" s="23"/>
      <c r="U104" s="24"/>
      <c r="V104" s="24"/>
    </row>
    <row r="105" spans="2:30">
      <c r="I105" s="17"/>
      <c r="J105" s="17"/>
    </row>
    <row r="107" spans="2:30" s="24" customFormat="1">
      <c r="B107"/>
      <c r="C107" s="1"/>
      <c r="D107"/>
      <c r="I107"/>
      <c r="J107"/>
      <c r="K107"/>
      <c r="L107"/>
      <c r="M107"/>
      <c r="N107"/>
      <c r="P107"/>
      <c r="Q107"/>
      <c r="R107"/>
      <c r="S107"/>
      <c r="T107"/>
      <c r="U107"/>
      <c r="V107"/>
      <c r="W107"/>
      <c r="AA107"/>
      <c r="AB107"/>
      <c r="AC107"/>
      <c r="AD107"/>
    </row>
    <row r="108" spans="2:30" s="24" customFormat="1">
      <c r="B108"/>
      <c r="C108" s="1"/>
      <c r="D108"/>
      <c r="I108"/>
      <c r="J108"/>
      <c r="K108"/>
      <c r="L108"/>
      <c r="M108"/>
      <c r="N108"/>
      <c r="P108"/>
      <c r="Q108"/>
      <c r="R108"/>
      <c r="S108"/>
      <c r="T108"/>
      <c r="U108"/>
      <c r="V108"/>
      <c r="W108"/>
      <c r="AA108"/>
      <c r="AB108"/>
      <c r="AC108"/>
      <c r="AD108"/>
    </row>
    <row r="110" spans="2:30">
      <c r="C110" s="14"/>
      <c r="D110" s="17"/>
    </row>
    <row r="111" spans="2:30">
      <c r="C111" s="14"/>
      <c r="D111" s="17"/>
    </row>
    <row r="112" spans="2:30">
      <c r="C112" s="14"/>
      <c r="D112" s="17"/>
    </row>
    <row r="114" spans="2:30">
      <c r="I114" s="24"/>
      <c r="J114" s="24"/>
      <c r="K114" s="24"/>
      <c r="L114" s="24"/>
      <c r="M114" s="24"/>
      <c r="N114" s="24"/>
    </row>
    <row r="115" spans="2:30">
      <c r="I115" s="24"/>
      <c r="J115" s="24"/>
      <c r="K115" s="24"/>
      <c r="L115" s="24"/>
      <c r="M115" s="24"/>
      <c r="N115" s="24"/>
    </row>
    <row r="117" spans="2:30">
      <c r="W117" s="24"/>
      <c r="AA117" s="24"/>
    </row>
    <row r="118" spans="2:30">
      <c r="W118" s="24"/>
      <c r="AA118" s="24"/>
    </row>
    <row r="119" spans="2:30">
      <c r="B119" s="24"/>
      <c r="AB119" s="24"/>
      <c r="AC119" s="24"/>
      <c r="AD119" s="24"/>
    </row>
    <row r="120" spans="2:30">
      <c r="B120" s="24"/>
      <c r="AB120" s="24"/>
      <c r="AC120" s="24"/>
      <c r="AD120" s="24"/>
    </row>
    <row r="121" spans="2:30">
      <c r="C121" s="24"/>
      <c r="D121" s="24"/>
    </row>
    <row r="122" spans="2:30">
      <c r="C122" s="24"/>
      <c r="D122" s="24"/>
    </row>
    <row r="140" spans="17:17">
      <c r="Q140" s="24"/>
    </row>
    <row r="141" spans="17:17">
      <c r="Q141" s="24"/>
    </row>
    <row r="148" spans="18:22">
      <c r="R148" s="24"/>
      <c r="S148" s="24"/>
      <c r="T148" s="24"/>
      <c r="U148" s="24"/>
      <c r="V148" s="24"/>
    </row>
    <row r="149" spans="18:22">
      <c r="R149" s="24"/>
      <c r="S149" s="24"/>
      <c r="T149" s="24"/>
      <c r="U149" s="24"/>
      <c r="V149" s="24"/>
    </row>
  </sheetData>
  <sheetProtection password="C08E" sheet="1" formatCells="0" formatColumns="0" formatRows="0" insertColumns="0" insertRows="0" insertHyperlinks="0" deleteColumns="0" deleteRows="0" sort="0" autoFilter="0" pivotTables="0"/>
  <mergeCells count="50">
    <mergeCell ref="B3:G4"/>
    <mergeCell ref="I3:K3"/>
    <mergeCell ref="I4:K4"/>
    <mergeCell ref="I5:K5"/>
    <mergeCell ref="C47:D47"/>
    <mergeCell ref="AA40:AB41"/>
    <mergeCell ref="AA36:AB37"/>
    <mergeCell ref="C17:D17"/>
    <mergeCell ref="C20:D20"/>
    <mergeCell ref="C21:D21"/>
    <mergeCell ref="C24:D24"/>
    <mergeCell ref="C25:D25"/>
    <mergeCell ref="C32:D32"/>
    <mergeCell ref="C35:D35"/>
    <mergeCell ref="C38:D38"/>
    <mergeCell ref="I19:I20"/>
    <mergeCell ref="I37:J38"/>
    <mergeCell ref="V41:V42"/>
    <mergeCell ref="T17:T18"/>
    <mergeCell ref="AA8:AC9"/>
    <mergeCell ref="AA17:AA18"/>
    <mergeCell ref="AB17:AB18"/>
    <mergeCell ref="AC17:AC18"/>
    <mergeCell ref="AD17:AD18"/>
    <mergeCell ref="AA14:AC15"/>
    <mergeCell ref="R99:S100"/>
    <mergeCell ref="R49:S50"/>
    <mergeCell ref="C8:D9"/>
    <mergeCell ref="J58:M59"/>
    <mergeCell ref="B13:D14"/>
    <mergeCell ref="B28:D29"/>
    <mergeCell ref="B43:D44"/>
    <mergeCell ref="I14:N15"/>
    <mergeCell ref="S41:S42"/>
    <mergeCell ref="R8:S9"/>
    <mergeCell ref="R14:S15"/>
    <mergeCell ref="K18:N18"/>
    <mergeCell ref="K19:N19"/>
    <mergeCell ref="S17:S18"/>
    <mergeCell ref="C51:D51"/>
    <mergeCell ref="C54:D54"/>
    <mergeCell ref="T95:T96"/>
    <mergeCell ref="R95:S96"/>
    <mergeCell ref="R72:S73"/>
    <mergeCell ref="U17:U18"/>
    <mergeCell ref="V17:V18"/>
    <mergeCell ref="R45:S46"/>
    <mergeCell ref="T45:T46"/>
    <mergeCell ref="R68:S69"/>
    <mergeCell ref="T68:T69"/>
  </mergeCells>
  <pageMargins left="0.7" right="0.7" top="0.75" bottom="0.75" header="0.3" footer="0.3"/>
  <pageSetup paperSize="9" orientation="portrait" horizontalDpi="4294967293" verticalDpi="4294967293" r:id="rId1"/>
  <drawing r:id="rId2"/>
</worksheet>
</file>

<file path=xl/worksheets/sheet12.xml><?xml version="1.0" encoding="utf-8"?>
<worksheet xmlns="http://schemas.openxmlformats.org/spreadsheetml/2006/main" xmlns:r="http://schemas.openxmlformats.org/officeDocument/2006/relationships">
  <sheetPr codeName="Sheet9"/>
  <dimension ref="A1:U35"/>
  <sheetViews>
    <sheetView topLeftCell="J1" workbookViewId="0">
      <selection activeCell="L15" sqref="L15"/>
    </sheetView>
  </sheetViews>
  <sheetFormatPr defaultRowHeight="15"/>
  <cols>
    <col min="1" max="1" width="6" style="24" customWidth="1"/>
    <col min="2" max="2" width="6.28515625" style="24" customWidth="1"/>
    <col min="3" max="3" width="10" customWidth="1"/>
    <col min="4" max="4" width="39" customWidth="1"/>
    <col min="5" max="5" width="17.85546875" bestFit="1" customWidth="1"/>
    <col min="8" max="8" width="9.140625" style="24"/>
    <col min="9" max="9" width="6.5703125" customWidth="1"/>
    <col min="10" max="10" width="9.42578125" customWidth="1"/>
    <col min="11" max="11" width="40.140625" customWidth="1"/>
    <col min="12" max="12" width="17.85546875" customWidth="1"/>
    <col min="13" max="13" width="6.85546875" customWidth="1"/>
    <col min="16" max="16" width="6" customWidth="1"/>
    <col min="17" max="17" width="10.42578125" customWidth="1"/>
    <col min="18" max="18" width="37.28515625" customWidth="1"/>
    <col min="19" max="19" width="17.140625" customWidth="1"/>
  </cols>
  <sheetData>
    <row r="1" spans="1:20" s="24" customFormat="1"/>
    <row r="2" spans="1:20" s="24" customFormat="1">
      <c r="D2" s="496" t="s">
        <v>244</v>
      </c>
      <c r="E2" s="497"/>
      <c r="F2" s="498"/>
    </row>
    <row r="3" spans="1:20" s="24" customFormat="1">
      <c r="D3" s="499"/>
      <c r="E3" s="500"/>
      <c r="F3" s="501"/>
    </row>
    <row r="4" spans="1:20" s="24" customFormat="1">
      <c r="D4" s="502" t="s">
        <v>274</v>
      </c>
      <c r="E4" s="503"/>
      <c r="F4" s="504"/>
    </row>
    <row r="6" spans="1:20">
      <c r="B6" s="96"/>
      <c r="C6" s="96"/>
      <c r="D6" s="96"/>
      <c r="E6" s="96"/>
      <c r="F6" s="96"/>
      <c r="I6" s="63"/>
      <c r="J6" s="63"/>
      <c r="K6" s="63"/>
      <c r="L6" s="63"/>
      <c r="M6" s="63"/>
      <c r="P6" s="47"/>
      <c r="Q6" s="47"/>
      <c r="R6" s="47"/>
      <c r="S6" s="47"/>
      <c r="T6" s="47"/>
    </row>
    <row r="7" spans="1:20">
      <c r="B7" s="96"/>
      <c r="C7" s="96"/>
      <c r="D7" s="96"/>
      <c r="E7" s="96"/>
      <c r="F7" s="96"/>
      <c r="I7" s="63"/>
      <c r="J7" s="63"/>
      <c r="K7" s="63"/>
      <c r="L7" s="63"/>
      <c r="M7" s="63"/>
      <c r="P7" s="47"/>
      <c r="Q7" s="47"/>
      <c r="R7" s="47"/>
      <c r="S7" s="47"/>
      <c r="T7" s="47"/>
    </row>
    <row r="8" spans="1:20" ht="15" customHeight="1" thickBot="1">
      <c r="B8" s="96"/>
      <c r="C8" s="672" t="s">
        <v>38</v>
      </c>
      <c r="D8" s="672"/>
      <c r="E8" s="672"/>
      <c r="F8" s="96"/>
      <c r="I8" s="63"/>
      <c r="J8" s="511" t="s">
        <v>412</v>
      </c>
      <c r="K8" s="511"/>
      <c r="L8" s="511"/>
      <c r="M8" s="63"/>
      <c r="P8" s="47"/>
      <c r="Q8" s="511" t="s">
        <v>541</v>
      </c>
      <c r="R8" s="511"/>
      <c r="S8" s="511"/>
      <c r="T8" s="47"/>
    </row>
    <row r="9" spans="1:20" ht="15" customHeight="1" thickTop="1" thickBot="1">
      <c r="B9" s="96"/>
      <c r="C9" s="520"/>
      <c r="D9" s="520"/>
      <c r="E9" s="520"/>
      <c r="F9" s="96"/>
      <c r="I9" s="63"/>
      <c r="J9" s="511"/>
      <c r="K9" s="511"/>
      <c r="L9" s="511"/>
      <c r="M9" s="63"/>
      <c r="P9" s="47"/>
      <c r="Q9" s="511"/>
      <c r="R9" s="511"/>
      <c r="S9" s="511"/>
      <c r="T9" s="47"/>
    </row>
    <row r="10" spans="1:20" ht="15.75" thickTop="1">
      <c r="B10" s="96"/>
      <c r="C10" s="96"/>
      <c r="D10" s="234"/>
      <c r="E10" s="12"/>
      <c r="F10" s="96"/>
      <c r="I10" s="63"/>
      <c r="J10" s="63"/>
      <c r="K10" s="64"/>
      <c r="L10" s="64"/>
      <c r="M10" s="63"/>
      <c r="P10" s="47"/>
      <c r="Q10" s="47"/>
      <c r="R10" s="44"/>
      <c r="S10" s="44"/>
      <c r="T10" s="47"/>
    </row>
    <row r="11" spans="1:20">
      <c r="B11" s="96"/>
      <c r="C11" s="719" t="s">
        <v>409</v>
      </c>
      <c r="D11" s="719" t="s">
        <v>410</v>
      </c>
      <c r="E11" s="719" t="s">
        <v>411</v>
      </c>
      <c r="F11" s="96"/>
      <c r="I11" s="63"/>
      <c r="J11" s="616" t="s">
        <v>413</v>
      </c>
      <c r="K11" s="616" t="s">
        <v>410</v>
      </c>
      <c r="L11" s="616" t="s">
        <v>414</v>
      </c>
      <c r="M11" s="63"/>
      <c r="P11" s="47"/>
      <c r="Q11" s="718" t="s">
        <v>413</v>
      </c>
      <c r="R11" s="718" t="s">
        <v>540</v>
      </c>
      <c r="S11" s="718" t="s">
        <v>414</v>
      </c>
      <c r="T11" s="47"/>
    </row>
    <row r="12" spans="1:20">
      <c r="B12" s="96"/>
      <c r="C12" s="720"/>
      <c r="D12" s="720"/>
      <c r="E12" s="720"/>
      <c r="F12" s="96"/>
      <c r="I12" s="63"/>
      <c r="J12" s="657"/>
      <c r="K12" s="657"/>
      <c r="L12" s="657"/>
      <c r="M12" s="63"/>
      <c r="P12" s="47"/>
      <c r="Q12" s="718"/>
      <c r="R12" s="718"/>
      <c r="S12" s="718"/>
      <c r="T12" s="47"/>
    </row>
    <row r="13" spans="1:20">
      <c r="B13" s="96"/>
      <c r="C13" s="224"/>
      <c r="D13" s="302"/>
      <c r="E13" s="12"/>
      <c r="F13" s="96"/>
      <c r="I13" s="63"/>
      <c r="J13" s="205"/>
      <c r="K13" s="205"/>
      <c r="L13" s="205"/>
      <c r="M13" s="63"/>
      <c r="P13" s="47"/>
      <c r="Q13" s="435"/>
      <c r="R13" s="435"/>
      <c r="S13" s="435"/>
      <c r="T13" s="47"/>
    </row>
    <row r="14" spans="1:20">
      <c r="B14" s="96"/>
      <c r="C14" s="306">
        <v>1</v>
      </c>
      <c r="D14" s="305" t="s">
        <v>130</v>
      </c>
      <c r="E14" s="299">
        <v>1</v>
      </c>
      <c r="F14" s="96"/>
      <c r="I14" s="63"/>
      <c r="J14" s="213">
        <v>1</v>
      </c>
      <c r="K14" s="213" t="s">
        <v>33</v>
      </c>
      <c r="L14" s="304">
        <f>IF(Master!E96="No",'Cement Content'!D29,'Cement Content'!D53)</f>
        <v>347.00159999999994</v>
      </c>
      <c r="M14" s="63"/>
      <c r="P14" s="47"/>
      <c r="Q14" s="436">
        <v>1</v>
      </c>
      <c r="R14" s="436" t="s">
        <v>33</v>
      </c>
      <c r="S14" s="437">
        <f>L14</f>
        <v>347.00159999999994</v>
      </c>
      <c r="T14" s="47"/>
    </row>
    <row r="15" spans="1:20">
      <c r="B15" s="96"/>
      <c r="C15" s="160"/>
      <c r="D15" s="303"/>
      <c r="E15" s="234"/>
      <c r="F15" s="96"/>
      <c r="I15" s="63"/>
      <c r="J15" s="199"/>
      <c r="K15" s="199"/>
      <c r="L15" s="203"/>
      <c r="M15" s="63"/>
      <c r="P15" s="47"/>
      <c r="Q15" s="436"/>
      <c r="R15" s="436"/>
      <c r="S15" s="438"/>
      <c r="T15" s="47"/>
    </row>
    <row r="16" spans="1:20" s="15" customFormat="1">
      <c r="A16" s="24"/>
      <c r="B16" s="96"/>
      <c r="C16" s="306">
        <v>2</v>
      </c>
      <c r="D16" s="305" t="s">
        <v>131</v>
      </c>
      <c r="E16" s="300">
        <f>IF(Master!E96="No",'Cement Content'!D29/(Master!E48*1000),'Cement Content'!D53/(Master!E48*1000))</f>
        <v>0.11015923809523807</v>
      </c>
      <c r="F16" s="96"/>
      <c r="H16" s="24"/>
      <c r="I16" s="63"/>
      <c r="J16" s="213">
        <v>2</v>
      </c>
      <c r="K16" s="213" t="s">
        <v>32</v>
      </c>
      <c r="L16" s="304">
        <f>IF(Master!E96="No",0,'Cement Content'!D51)</f>
        <v>86.750399999999985</v>
      </c>
      <c r="M16" s="63"/>
      <c r="P16" s="47"/>
      <c r="Q16" s="436">
        <v>2</v>
      </c>
      <c r="R16" s="436" t="s">
        <v>32</v>
      </c>
      <c r="S16" s="437">
        <f>L16</f>
        <v>86.750399999999985</v>
      </c>
      <c r="T16" s="47"/>
    </row>
    <row r="17" spans="1:21" s="15" customFormat="1">
      <c r="A17" s="24"/>
      <c r="B17" s="96"/>
      <c r="C17" s="160"/>
      <c r="D17" s="303"/>
      <c r="E17" s="234"/>
      <c r="F17" s="96"/>
      <c r="H17" s="24"/>
      <c r="I17" s="63"/>
      <c r="J17" s="199"/>
      <c r="K17" s="199"/>
      <c r="L17" s="203"/>
      <c r="M17" s="63"/>
      <c r="P17" s="47"/>
      <c r="Q17" s="436"/>
      <c r="R17" s="436"/>
      <c r="S17" s="438"/>
      <c r="T17" s="47"/>
    </row>
    <row r="18" spans="1:21">
      <c r="B18" s="96"/>
      <c r="C18" s="306">
        <v>3</v>
      </c>
      <c r="D18" s="305" t="s">
        <v>132</v>
      </c>
      <c r="E18" s="300">
        <f>IF(Master!E96="No",0, 'Cement Content'!D51/(Master!E102*1000))</f>
        <v>3.9431999999999995E-2</v>
      </c>
      <c r="F18" s="96"/>
      <c r="I18" s="63"/>
      <c r="J18" s="213">
        <v>3</v>
      </c>
      <c r="K18" s="213" t="s">
        <v>235</v>
      </c>
      <c r="L18" s="304">
        <f>'Water Content'!L35</f>
        <v>197.16</v>
      </c>
      <c r="M18" s="63"/>
      <c r="P18" s="47"/>
      <c r="Q18" s="436">
        <v>3</v>
      </c>
      <c r="R18" s="436" t="s">
        <v>507</v>
      </c>
      <c r="S18" s="437">
        <f>IF(AND(Master!E81=0,Master!E84=0),L18+(L22*Master!E69/100)+(Master!E72*'Mix Calculation'!L20/100),L18-(L22*Master!E81/100)-(L20*Master!E84/100))</f>
        <v>190.81042203428572</v>
      </c>
      <c r="T18" s="47"/>
    </row>
    <row r="19" spans="1:21" ht="15.75">
      <c r="B19" s="96"/>
      <c r="C19" s="160"/>
      <c r="D19" s="303"/>
      <c r="E19" s="234"/>
      <c r="F19" s="96"/>
      <c r="G19" s="8"/>
      <c r="H19" s="8"/>
      <c r="I19" s="63"/>
      <c r="J19" s="199"/>
      <c r="K19" s="199"/>
      <c r="L19" s="203"/>
      <c r="M19" s="63"/>
      <c r="P19" s="47"/>
      <c r="Q19" s="436"/>
      <c r="R19" s="436"/>
      <c r="S19" s="438"/>
      <c r="T19" s="47"/>
    </row>
    <row r="20" spans="1:21">
      <c r="B20" s="96"/>
      <c r="C20" s="306">
        <v>4</v>
      </c>
      <c r="D20" s="305" t="s">
        <v>133</v>
      </c>
      <c r="E20" s="300">
        <f>IF(Master!E96="No",(Master!E114/100)*'Cement Content'!D29/(Master!E108*1000),(Master!E114/100)*'Cement Content'!D44/(Master!E108*1000))</f>
        <v>0</v>
      </c>
      <c r="F20" s="96"/>
      <c r="I20" s="63"/>
      <c r="J20" s="213">
        <v>4</v>
      </c>
      <c r="K20" s="213" t="s">
        <v>158</v>
      </c>
      <c r="L20" s="304">
        <f>'Mix Calculation'!E28*1000*Master!E60</f>
        <v>634.95779657142873</v>
      </c>
      <c r="M20" s="63"/>
      <c r="P20" s="47"/>
      <c r="Q20" s="436">
        <v>4</v>
      </c>
      <c r="R20" s="436" t="s">
        <v>158</v>
      </c>
      <c r="S20" s="437">
        <f>IF(AND(Master!$E$81=0,Master!$E$84=0,Master!$E$69&gt;0,Master!$E$72&gt;0),L20*(1-Master!$E$72/100),'Mix Calculation'!L20*(1+Master!$E$84/100))</f>
        <v>641.307374537143</v>
      </c>
      <c r="T20" s="47"/>
      <c r="U20" s="22"/>
    </row>
    <row r="21" spans="1:21">
      <c r="B21" s="96"/>
      <c r="C21" s="160"/>
      <c r="D21" s="303"/>
      <c r="E21" s="296"/>
      <c r="F21" s="96"/>
      <c r="I21" s="63"/>
      <c r="J21" s="199"/>
      <c r="K21" s="199"/>
      <c r="L21" s="203"/>
      <c r="M21" s="63"/>
      <c r="P21" s="47"/>
      <c r="Q21" s="436"/>
      <c r="R21" s="436"/>
      <c r="S21" s="438"/>
      <c r="T21" s="47"/>
      <c r="U21" s="22"/>
    </row>
    <row r="22" spans="1:21">
      <c r="B22" s="96"/>
      <c r="C22" s="306">
        <v>5</v>
      </c>
      <c r="D22" s="305" t="s">
        <v>135</v>
      </c>
      <c r="E22" s="300">
        <f>'Water Content'!L35/1000</f>
        <v>0.19716</v>
      </c>
      <c r="F22" s="96"/>
      <c r="I22" s="63"/>
      <c r="J22" s="213">
        <v>5</v>
      </c>
      <c r="K22" s="213" t="s">
        <v>129</v>
      </c>
      <c r="L22" s="304">
        <f>'Mix Calculation'!E26*1000*Master!E63</f>
        <v>1107.9099001904765</v>
      </c>
      <c r="M22" s="63"/>
      <c r="P22" s="47"/>
      <c r="Q22" s="436">
        <v>5</v>
      </c>
      <c r="R22" s="436" t="s">
        <v>129</v>
      </c>
      <c r="S22" s="437">
        <f>IF(AND(Master!$E$81=0,Master!$E$84=0,Master!$E$69&gt;0,Master!$E$72&gt;0),'Mix Calculation'!L22*(1-Master!$E$69/100),'Mix Calculation'!L22*(1+Master!$E$81/100))</f>
        <v>1107.9099001904765</v>
      </c>
      <c r="T22" s="47"/>
      <c r="U22" s="22"/>
    </row>
    <row r="23" spans="1:21">
      <c r="B23" s="96"/>
      <c r="C23" s="160"/>
      <c r="D23" s="303"/>
      <c r="E23" s="234"/>
      <c r="F23" s="96"/>
      <c r="I23" s="63"/>
      <c r="J23" s="199"/>
      <c r="K23" s="199"/>
      <c r="L23" s="203"/>
      <c r="M23" s="63"/>
      <c r="P23" s="47"/>
      <c r="Q23" s="436"/>
      <c r="R23" s="436"/>
      <c r="S23" s="438"/>
      <c r="T23" s="47"/>
    </row>
    <row r="24" spans="1:21">
      <c r="B24" s="96"/>
      <c r="C24" s="306">
        <v>6</v>
      </c>
      <c r="D24" s="305" t="s">
        <v>134</v>
      </c>
      <c r="E24" s="300">
        <f>1-(SUM(E16,E18,E20,E22))</f>
        <v>0.653248761904762</v>
      </c>
      <c r="F24" s="96"/>
      <c r="I24" s="63"/>
      <c r="J24" s="213">
        <v>6</v>
      </c>
      <c r="K24" s="213" t="s">
        <v>40</v>
      </c>
      <c r="L24" s="304">
        <f>IF( E20=0,0,(Master!E114/100)*'Cement Content'!D44)</f>
        <v>0</v>
      </c>
      <c r="M24" s="63"/>
      <c r="P24" s="47"/>
      <c r="Q24" s="436">
        <v>6</v>
      </c>
      <c r="R24" s="436" t="s">
        <v>40</v>
      </c>
      <c r="S24" s="437">
        <f>L24</f>
        <v>0</v>
      </c>
      <c r="T24" s="47"/>
      <c r="U24" s="22"/>
    </row>
    <row r="25" spans="1:21">
      <c r="B25" s="96"/>
      <c r="C25" s="160"/>
      <c r="D25" s="303"/>
      <c r="E25" s="234"/>
      <c r="F25" s="96"/>
      <c r="I25" s="63"/>
      <c r="J25" s="199"/>
      <c r="K25" s="199"/>
      <c r="L25" s="203"/>
      <c r="M25" s="63"/>
      <c r="P25" s="47"/>
      <c r="Q25" s="436"/>
      <c r="R25" s="436"/>
      <c r="S25" s="438"/>
      <c r="T25" s="47"/>
    </row>
    <row r="26" spans="1:21">
      <c r="B26" s="96"/>
      <c r="C26" s="160"/>
      <c r="D26" s="305" t="s">
        <v>508</v>
      </c>
      <c r="E26" s="301">
        <f>E24*'Agg. Proportn'!L4</f>
        <v>0.41807920761904771</v>
      </c>
      <c r="F26" s="96"/>
      <c r="I26" s="63"/>
      <c r="J26" s="198">
        <v>7</v>
      </c>
      <c r="K26" s="198" t="s">
        <v>31</v>
      </c>
      <c r="L26" s="378">
        <f>IF(AND(Master!$E$96="Yes",'Cement Content'!D46&lt;WC!E51),'Cement Content'!D46,'Cement Content'!D31)</f>
        <v>0.45454545454545459</v>
      </c>
      <c r="M26" s="63"/>
      <c r="P26" s="47"/>
      <c r="Q26" s="436">
        <v>7</v>
      </c>
      <c r="R26" s="436" t="s">
        <v>31</v>
      </c>
      <c r="S26" s="437">
        <f>L26</f>
        <v>0.45454545454545459</v>
      </c>
      <c r="T26" s="47"/>
    </row>
    <row r="27" spans="1:21">
      <c r="B27" s="96"/>
      <c r="C27" s="160"/>
      <c r="D27" s="303"/>
      <c r="E27" s="234"/>
      <c r="F27" s="96"/>
      <c r="I27" s="63"/>
      <c r="J27" s="213"/>
      <c r="K27" s="381"/>
      <c r="L27" s="380"/>
      <c r="M27" s="63"/>
      <c r="P27" s="47"/>
      <c r="Q27" s="436"/>
      <c r="R27" s="435"/>
      <c r="S27" s="439"/>
      <c r="T27" s="47"/>
    </row>
    <row r="28" spans="1:21">
      <c r="B28" s="96"/>
      <c r="C28" s="160"/>
      <c r="D28" s="305" t="s">
        <v>509</v>
      </c>
      <c r="E28" s="301">
        <f>E24*'Agg. Proportn'!L5</f>
        <v>0.23516955428571432</v>
      </c>
      <c r="F28" s="96"/>
      <c r="I28" s="63"/>
      <c r="J28" s="68"/>
      <c r="K28" s="68"/>
      <c r="L28" s="379"/>
      <c r="M28" s="63"/>
      <c r="P28" s="47"/>
      <c r="Q28" s="403"/>
      <c r="R28" s="403"/>
      <c r="S28" s="434"/>
      <c r="T28" s="47"/>
    </row>
    <row r="29" spans="1:21">
      <c r="B29" s="96"/>
      <c r="C29" s="209"/>
      <c r="D29" s="209"/>
      <c r="E29" s="96"/>
      <c r="F29" s="96"/>
      <c r="I29" s="64"/>
      <c r="J29" s="716" t="s">
        <v>523</v>
      </c>
      <c r="K29" s="716"/>
      <c r="L29" s="64"/>
      <c r="M29" s="64"/>
      <c r="P29" s="47"/>
      <c r="Q29" s="717" t="s">
        <v>523</v>
      </c>
      <c r="R29" s="717"/>
      <c r="S29" s="44"/>
      <c r="T29" s="47"/>
    </row>
    <row r="30" spans="1:21">
      <c r="B30" s="96"/>
      <c r="C30" s="96"/>
      <c r="D30" s="96"/>
      <c r="E30" s="96"/>
      <c r="F30" s="96"/>
      <c r="I30" s="64"/>
      <c r="J30" s="64"/>
      <c r="K30" s="63"/>
      <c r="L30" s="64"/>
      <c r="M30" s="64"/>
      <c r="P30" s="47"/>
      <c r="Q30" s="44"/>
      <c r="R30" s="47"/>
      <c r="S30" s="44"/>
      <c r="T30" s="47"/>
    </row>
    <row r="31" spans="1:21">
      <c r="B31" s="96"/>
      <c r="C31" s="96"/>
      <c r="D31" s="96"/>
      <c r="E31" s="96"/>
      <c r="F31" s="96"/>
      <c r="I31" s="63"/>
      <c r="J31" s="63"/>
      <c r="K31" s="251" t="s">
        <v>33</v>
      </c>
      <c r="L31" s="459">
        <v>1</v>
      </c>
      <c r="M31" s="63"/>
      <c r="P31" s="47"/>
      <c r="Q31" s="47"/>
      <c r="R31" s="251" t="s">
        <v>33</v>
      </c>
      <c r="S31" s="459">
        <v>1</v>
      </c>
      <c r="T31" s="47"/>
    </row>
    <row r="32" spans="1:21">
      <c r="I32" s="63"/>
      <c r="J32" s="63"/>
      <c r="K32" s="458" t="s">
        <v>524</v>
      </c>
      <c r="L32" s="460">
        <f>L20/L14</f>
        <v>1.8298411205349741</v>
      </c>
      <c r="M32" s="63"/>
      <c r="P32" s="47"/>
      <c r="Q32" s="47"/>
      <c r="R32" s="458" t="s">
        <v>524</v>
      </c>
      <c r="S32" s="460">
        <f>S20/S14</f>
        <v>1.8481395317403237</v>
      </c>
      <c r="T32" s="47"/>
    </row>
    <row r="33" spans="9:20">
      <c r="I33" s="63"/>
      <c r="J33" s="63"/>
      <c r="K33" s="458" t="s">
        <v>300</v>
      </c>
      <c r="L33" s="460">
        <f>L22/L14</f>
        <v>3.1928091979704898</v>
      </c>
      <c r="M33" s="63"/>
      <c r="P33" s="47"/>
      <c r="Q33" s="47"/>
      <c r="R33" s="458" t="s">
        <v>300</v>
      </c>
      <c r="S33" s="460">
        <f>S22/S14</f>
        <v>3.1928091979704898</v>
      </c>
      <c r="T33" s="47"/>
    </row>
    <row r="34" spans="9:20">
      <c r="I34" s="63"/>
      <c r="J34" s="63"/>
      <c r="K34" s="63"/>
      <c r="L34" s="63"/>
      <c r="M34" s="63"/>
      <c r="P34" s="47"/>
      <c r="Q34" s="47"/>
      <c r="R34" s="47"/>
      <c r="S34" s="47"/>
      <c r="T34" s="47"/>
    </row>
    <row r="35" spans="9:20">
      <c r="T35" s="19"/>
    </row>
  </sheetData>
  <sheetProtection password="C08E" sheet="1" formatCells="0" formatColumns="0" formatRows="0" insertColumns="0" insertRows="0" insertHyperlinks="0" deleteColumns="0" deleteRows="0" sort="0" autoFilter="0" pivotTables="0"/>
  <mergeCells count="16">
    <mergeCell ref="D2:F3"/>
    <mergeCell ref="D4:F4"/>
    <mergeCell ref="E11:E12"/>
    <mergeCell ref="D11:D12"/>
    <mergeCell ref="C11:C12"/>
    <mergeCell ref="C8:E9"/>
    <mergeCell ref="J29:K29"/>
    <mergeCell ref="Q29:R29"/>
    <mergeCell ref="J11:J12"/>
    <mergeCell ref="L11:L12"/>
    <mergeCell ref="J8:L9"/>
    <mergeCell ref="Q8:S9"/>
    <mergeCell ref="Q11:Q12"/>
    <mergeCell ref="R11:R12"/>
    <mergeCell ref="S11:S12"/>
    <mergeCell ref="K11:K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dimension ref="A1:V87"/>
  <sheetViews>
    <sheetView tabSelected="1" workbookViewId="0">
      <selection activeCell="M70" sqref="M70"/>
    </sheetView>
  </sheetViews>
  <sheetFormatPr defaultRowHeight="15"/>
  <cols>
    <col min="1" max="1" width="9.7109375" customWidth="1"/>
    <col min="3" max="3" width="11.140625" customWidth="1"/>
    <col min="4" max="4" width="2.140625" customWidth="1"/>
    <col min="6" max="6" width="7.28515625" style="24" customWidth="1"/>
    <col min="9" max="9" width="9.5703125" customWidth="1"/>
    <col min="10" max="10" width="2.28515625" customWidth="1"/>
    <col min="12" max="12" width="24.28515625" customWidth="1"/>
    <col min="14" max="14" width="6.5703125" customWidth="1"/>
    <col min="15" max="15" width="4" customWidth="1"/>
    <col min="16" max="16" width="23.7109375" customWidth="1"/>
  </cols>
  <sheetData>
    <row r="1" spans="1:22" ht="10.5" customHeight="1"/>
    <row r="2" spans="1:22" ht="15" customHeight="1" thickBot="1">
      <c r="A2" s="728" t="s">
        <v>402</v>
      </c>
      <c r="B2" s="728"/>
      <c r="C2" s="728"/>
      <c r="D2" s="728"/>
      <c r="E2" s="728"/>
      <c r="F2" s="728"/>
      <c r="G2" s="728"/>
      <c r="H2" s="728"/>
      <c r="I2" s="728"/>
      <c r="J2" s="728"/>
      <c r="K2" s="728"/>
      <c r="L2" s="721" t="s">
        <v>402</v>
      </c>
      <c r="M2" s="721"/>
      <c r="N2" s="721"/>
      <c r="O2" s="721"/>
      <c r="P2" s="721"/>
      <c r="Q2" s="721"/>
      <c r="R2" s="721"/>
      <c r="S2" s="389"/>
      <c r="T2" s="389"/>
      <c r="U2" s="389"/>
      <c r="V2" s="389"/>
    </row>
    <row r="3" spans="1:22" ht="23.25" customHeight="1" thickTop="1" thickBot="1">
      <c r="A3" s="728"/>
      <c r="B3" s="728"/>
      <c r="C3" s="728"/>
      <c r="D3" s="728"/>
      <c r="E3" s="728"/>
      <c r="F3" s="728"/>
      <c r="G3" s="728"/>
      <c r="H3" s="728"/>
      <c r="I3" s="728"/>
      <c r="J3" s="728"/>
      <c r="K3" s="728"/>
      <c r="L3" s="722"/>
      <c r="M3" s="722"/>
      <c r="N3" s="722"/>
      <c r="O3" s="722"/>
      <c r="P3" s="722"/>
      <c r="Q3" s="722"/>
      <c r="R3" s="722"/>
      <c r="S3" s="390"/>
      <c r="T3" s="390"/>
      <c r="U3" s="390"/>
      <c r="V3" s="390"/>
    </row>
    <row r="4" spans="1:22" ht="15.75" thickTop="1">
      <c r="A4" s="24"/>
      <c r="B4" s="24"/>
      <c r="C4" s="24"/>
      <c r="D4" s="24"/>
      <c r="E4" s="24"/>
      <c r="G4" s="24"/>
      <c r="H4" s="24"/>
      <c r="I4" s="24"/>
      <c r="J4" s="24"/>
      <c r="K4" s="24"/>
      <c r="L4" s="24"/>
      <c r="M4" s="24"/>
      <c r="N4" s="24"/>
      <c r="O4" s="24"/>
      <c r="P4" s="24"/>
      <c r="Q4" s="24"/>
      <c r="R4" s="24"/>
    </row>
    <row r="5" spans="1:22" ht="18" thickBot="1">
      <c r="A5" s="386" t="s">
        <v>452</v>
      </c>
      <c r="B5" s="386"/>
      <c r="C5" s="24"/>
      <c r="D5" s="24"/>
      <c r="E5" s="24"/>
      <c r="G5" s="24"/>
      <c r="H5" s="24"/>
      <c r="I5" s="24"/>
      <c r="J5" s="24"/>
      <c r="K5" s="24"/>
      <c r="L5" s="387" t="s">
        <v>33</v>
      </c>
      <c r="M5" s="24"/>
      <c r="N5" s="24"/>
      <c r="O5" s="24"/>
      <c r="P5" s="24"/>
      <c r="Q5" s="24"/>
      <c r="R5" s="24"/>
    </row>
    <row r="6" spans="1:22" ht="15.75" thickTop="1">
      <c r="L6" s="24"/>
      <c r="M6" s="24"/>
      <c r="N6" s="24"/>
      <c r="O6" s="24"/>
      <c r="P6" s="24"/>
      <c r="Q6" s="24"/>
      <c r="R6" s="24"/>
    </row>
    <row r="7" spans="1:22" ht="15.75" thickBot="1">
      <c r="A7" s="723" t="s">
        <v>453</v>
      </c>
      <c r="B7" s="723"/>
      <c r="L7" s="391" t="s">
        <v>454</v>
      </c>
      <c r="M7" s="726" t="str">
        <f>Materials!E11</f>
        <v>OPC 33</v>
      </c>
      <c r="N7" s="726"/>
      <c r="O7" s="392"/>
      <c r="P7" s="384"/>
      <c r="Q7" s="384"/>
      <c r="R7" s="384"/>
    </row>
    <row r="8" spans="1:22">
      <c r="B8" s="231"/>
      <c r="C8" s="231"/>
      <c r="D8" s="24"/>
      <c r="E8" s="24"/>
      <c r="L8" s="393" t="s">
        <v>455</v>
      </c>
      <c r="M8" s="727" t="str">
        <f>IF(M7="OPC 53","12269-1987",IF(M7="OPC 43","8112-1989",IF(M7="PPC","1489-1991","269-1989")))</f>
        <v>269-1989</v>
      </c>
      <c r="N8" s="727"/>
      <c r="O8" s="392"/>
      <c r="P8" s="384"/>
      <c r="Q8" s="384"/>
      <c r="R8" s="384"/>
    </row>
    <row r="9" spans="1:22">
      <c r="A9" s="732" t="s">
        <v>398</v>
      </c>
      <c r="B9" s="732"/>
      <c r="C9" s="732"/>
      <c r="D9" s="382" t="s">
        <v>401</v>
      </c>
      <c r="E9" s="382">
        <f>Master!E9</f>
        <v>30</v>
      </c>
      <c r="F9" s="382"/>
      <c r="G9" s="383" t="s">
        <v>399</v>
      </c>
      <c r="H9" s="383"/>
      <c r="I9" s="384"/>
      <c r="J9" s="382" t="s">
        <v>401</v>
      </c>
      <c r="K9" s="382">
        <f>Master!E12</f>
        <v>100</v>
      </c>
      <c r="L9" s="384"/>
      <c r="M9" s="415"/>
      <c r="N9" s="415"/>
      <c r="O9" s="384"/>
      <c r="P9" s="415"/>
      <c r="Q9" s="415"/>
      <c r="R9" s="384"/>
    </row>
    <row r="10" spans="1:22">
      <c r="A10" s="731" t="s">
        <v>400</v>
      </c>
      <c r="B10" s="731"/>
      <c r="C10" s="731"/>
      <c r="D10" s="382" t="s">
        <v>401</v>
      </c>
      <c r="E10" s="382" t="str">
        <f>Master!E15</f>
        <v>Moderate</v>
      </c>
      <c r="F10" s="382"/>
      <c r="G10" s="384" t="s">
        <v>157</v>
      </c>
      <c r="H10" s="384"/>
      <c r="I10" s="384"/>
      <c r="J10" s="382" t="s">
        <v>401</v>
      </c>
      <c r="K10" s="382" t="str">
        <f>Master!E18</f>
        <v>No</v>
      </c>
      <c r="L10" s="393" t="s">
        <v>456</v>
      </c>
      <c r="M10" s="394"/>
      <c r="N10" s="394"/>
      <c r="O10" s="394"/>
      <c r="P10" s="394"/>
      <c r="Q10" s="394"/>
      <c r="R10" s="384"/>
      <c r="U10" s="24"/>
    </row>
    <row r="11" spans="1:22">
      <c r="A11" s="384" t="s">
        <v>55</v>
      </c>
      <c r="B11" s="384"/>
      <c r="C11" s="384"/>
      <c r="D11" s="382" t="s">
        <v>401</v>
      </c>
      <c r="E11" s="733" t="str">
        <f>Master!E21</f>
        <v>Crushed Angular</v>
      </c>
      <c r="F11" s="733"/>
      <c r="G11" s="384" t="s">
        <v>140</v>
      </c>
      <c r="H11" s="384"/>
      <c r="I11" s="384"/>
      <c r="J11" s="382" t="s">
        <v>401</v>
      </c>
      <c r="K11" s="733" t="str">
        <f>Master!E24</f>
        <v>SuperPlasticizer</v>
      </c>
      <c r="L11" s="394" t="s">
        <v>182</v>
      </c>
      <c r="M11" s="394">
        <f>Materials!F18*100/Materials!F16</f>
        <v>9</v>
      </c>
      <c r="N11" s="394" t="s">
        <v>457</v>
      </c>
      <c r="O11" s="384"/>
      <c r="P11" s="394" t="s">
        <v>458</v>
      </c>
      <c r="Q11" s="394">
        <f>0.1*[2]Tests!U10</f>
        <v>10</v>
      </c>
      <c r="R11" s="394" t="s">
        <v>457</v>
      </c>
    </row>
    <row r="12" spans="1:22">
      <c r="A12" s="384"/>
      <c r="B12" s="384"/>
      <c r="C12" s="384"/>
      <c r="D12" s="384"/>
      <c r="E12" s="733"/>
      <c r="F12" s="733"/>
      <c r="G12" s="384"/>
      <c r="H12" s="384"/>
      <c r="I12" s="384"/>
      <c r="J12" s="384"/>
      <c r="K12" s="733"/>
      <c r="L12" s="394"/>
      <c r="M12" s="394"/>
      <c r="N12" s="394"/>
      <c r="O12" s="394"/>
      <c r="P12" s="394"/>
      <c r="Q12" s="394"/>
      <c r="R12" s="384"/>
    </row>
    <row r="13" spans="1:22">
      <c r="A13" s="384" t="s">
        <v>173</v>
      </c>
      <c r="B13" s="384"/>
      <c r="C13" s="384"/>
      <c r="D13" s="382" t="s">
        <v>401</v>
      </c>
      <c r="E13" s="731" t="str">
        <f>Master!E27</f>
        <v>Reinforced Concrete</v>
      </c>
      <c r="F13" s="731"/>
      <c r="G13" s="384" t="s">
        <v>230</v>
      </c>
      <c r="H13" s="384"/>
      <c r="I13" s="384"/>
      <c r="J13" s="382" t="s">
        <v>401</v>
      </c>
      <c r="K13" s="382" t="str">
        <f>Master!E30</f>
        <v>Good</v>
      </c>
      <c r="L13" s="393" t="s">
        <v>460</v>
      </c>
      <c r="M13" s="394"/>
      <c r="N13" s="394"/>
      <c r="O13" s="394"/>
      <c r="P13" s="394"/>
      <c r="Q13" s="384"/>
      <c r="R13" s="384"/>
    </row>
    <row r="14" spans="1:22">
      <c r="E14" s="31"/>
      <c r="F14" s="31"/>
      <c r="K14" s="31"/>
      <c r="L14" s="394" t="s">
        <v>462</v>
      </c>
      <c r="M14" s="394">
        <f>Materials!F41-Materials!F37</f>
        <v>3</v>
      </c>
      <c r="N14" s="394" t="s">
        <v>463</v>
      </c>
      <c r="O14" s="384"/>
      <c r="P14" s="394" t="s">
        <v>458</v>
      </c>
      <c r="Q14" s="394">
        <v>10</v>
      </c>
      <c r="R14" s="394" t="s">
        <v>463</v>
      </c>
    </row>
    <row r="15" spans="1:22" ht="15.75" thickBot="1">
      <c r="A15" s="723" t="s">
        <v>166</v>
      </c>
      <c r="B15" s="723"/>
      <c r="E15" s="31"/>
      <c r="F15" s="31"/>
      <c r="K15" s="31"/>
      <c r="L15" s="394" t="s">
        <v>464</v>
      </c>
      <c r="M15" s="384"/>
      <c r="N15" s="394"/>
      <c r="O15" s="384"/>
      <c r="P15" s="384"/>
      <c r="Q15" s="384"/>
      <c r="R15" s="394"/>
    </row>
    <row r="16" spans="1:22">
      <c r="E16" s="31"/>
      <c r="F16" s="31"/>
      <c r="K16" s="31"/>
      <c r="L16" s="394"/>
      <c r="M16" s="394"/>
      <c r="N16" s="394"/>
      <c r="O16" s="384"/>
      <c r="P16" s="394"/>
      <c r="Q16" s="394"/>
      <c r="R16" s="394"/>
    </row>
    <row r="17" spans="1:18">
      <c r="A17" s="384" t="s">
        <v>137</v>
      </c>
      <c r="B17" s="384"/>
      <c r="C17" s="384"/>
      <c r="D17" s="384" t="s">
        <v>401</v>
      </c>
      <c r="E17" s="382" t="str">
        <f>Master!E45</f>
        <v>OPC</v>
      </c>
      <c r="F17" s="382"/>
      <c r="G17" s="384" t="s">
        <v>180</v>
      </c>
      <c r="H17" s="384"/>
      <c r="I17" s="384"/>
      <c r="J17" s="384" t="s">
        <v>401</v>
      </c>
      <c r="K17" s="382">
        <f>Master!E48</f>
        <v>3.15</v>
      </c>
      <c r="L17" s="393" t="s">
        <v>465</v>
      </c>
      <c r="M17" s="394"/>
      <c r="N17" s="394"/>
      <c r="O17" s="384"/>
      <c r="P17" s="394"/>
      <c r="Q17" s="394"/>
      <c r="R17" s="394"/>
    </row>
    <row r="18" spans="1:18">
      <c r="E18" s="31"/>
      <c r="F18" s="382"/>
      <c r="G18" s="384"/>
      <c r="H18" s="384"/>
      <c r="I18" s="384"/>
      <c r="J18" s="384"/>
      <c r="K18" s="382"/>
      <c r="L18" s="394" t="s">
        <v>466</v>
      </c>
      <c r="M18" s="394">
        <f>Materials!F50</f>
        <v>20</v>
      </c>
      <c r="N18" s="394" t="s">
        <v>467</v>
      </c>
      <c r="O18" s="384"/>
      <c r="P18" s="394" t="s">
        <v>468</v>
      </c>
      <c r="Q18" s="394">
        <v>30</v>
      </c>
      <c r="R18" s="394" t="s">
        <v>467</v>
      </c>
    </row>
    <row r="19" spans="1:18" ht="15.75" thickBot="1">
      <c r="A19" s="723" t="s">
        <v>439</v>
      </c>
      <c r="B19" s="723"/>
      <c r="E19" s="31"/>
      <c r="F19" s="31"/>
      <c r="K19" s="31"/>
      <c r="L19" s="394" t="s">
        <v>470</v>
      </c>
      <c r="M19" s="394">
        <f>Materials!F55</f>
        <v>500</v>
      </c>
      <c r="N19" s="394" t="s">
        <v>467</v>
      </c>
      <c r="O19" s="384"/>
      <c r="P19" s="394" t="s">
        <v>458</v>
      </c>
      <c r="Q19" s="394">
        <v>600</v>
      </c>
      <c r="R19" s="394" t="s">
        <v>467</v>
      </c>
    </row>
    <row r="20" spans="1:18">
      <c r="E20" s="31"/>
      <c r="F20" s="31"/>
      <c r="K20" s="31"/>
      <c r="L20" s="394"/>
      <c r="M20" s="394"/>
      <c r="N20" s="394"/>
      <c r="O20" s="384"/>
      <c r="P20" s="394"/>
      <c r="Q20" s="394"/>
      <c r="R20" s="394"/>
    </row>
    <row r="21" spans="1:18">
      <c r="A21" s="384" t="s">
        <v>438</v>
      </c>
      <c r="B21" s="384"/>
      <c r="C21" s="384"/>
      <c r="D21" s="384" t="s">
        <v>401</v>
      </c>
      <c r="E21" s="382">
        <f>Master!E57</f>
        <v>20</v>
      </c>
      <c r="F21" s="31"/>
      <c r="G21" s="384" t="s">
        <v>107</v>
      </c>
      <c r="J21" s="24" t="s">
        <v>401</v>
      </c>
      <c r="K21" s="31" t="str">
        <f>'FA Grading'!D21</f>
        <v>III</v>
      </c>
      <c r="L21" s="393" t="s">
        <v>471</v>
      </c>
      <c r="M21" s="394"/>
      <c r="N21" s="394"/>
      <c r="O21" s="384"/>
      <c r="P21" s="394"/>
      <c r="Q21" s="394"/>
      <c r="R21" s="394"/>
    </row>
    <row r="22" spans="1:18">
      <c r="A22" s="384" t="s">
        <v>440</v>
      </c>
      <c r="B22" s="384"/>
      <c r="C22" s="384"/>
      <c r="D22" s="384"/>
      <c r="E22" s="382"/>
      <c r="F22" s="382"/>
      <c r="G22" s="384"/>
      <c r="H22" s="384"/>
      <c r="I22" s="384"/>
      <c r="J22" s="384"/>
      <c r="K22" s="382"/>
      <c r="L22" s="394" t="s">
        <v>472</v>
      </c>
      <c r="M22" s="394">
        <f>(Materials!E68+Materials!F68+Materials!G68)/3</f>
        <v>42.3</v>
      </c>
      <c r="N22" s="394" t="s">
        <v>473</v>
      </c>
      <c r="O22" s="384"/>
      <c r="P22" s="394" t="s">
        <v>468</v>
      </c>
      <c r="Q22" s="395" t="str">
        <f>IF(M7="OPC 53","27",IF(M7="OPC 43","23","16"))</f>
        <v>16</v>
      </c>
      <c r="R22" s="394" t="s">
        <v>474</v>
      </c>
    </row>
    <row r="23" spans="1:18">
      <c r="A23" s="384" t="s">
        <v>441</v>
      </c>
      <c r="B23" s="384"/>
      <c r="C23" s="384"/>
      <c r="D23" s="384" t="s">
        <v>401</v>
      </c>
      <c r="E23" s="382">
        <f>Master!E60</f>
        <v>2.7</v>
      </c>
      <c r="F23" s="382"/>
      <c r="G23" s="384" t="s">
        <v>160</v>
      </c>
      <c r="H23" s="384"/>
      <c r="I23" s="384"/>
      <c r="J23" s="384" t="s">
        <v>401</v>
      </c>
      <c r="K23" s="382">
        <f>Master!E63</f>
        <v>2.65</v>
      </c>
      <c r="L23" s="394" t="s">
        <v>475</v>
      </c>
      <c r="M23" s="394">
        <f>(Materials!E70+Materials!F70+Materials!G70)/3</f>
        <v>51.6</v>
      </c>
      <c r="N23" s="394" t="s">
        <v>473</v>
      </c>
      <c r="O23" s="384"/>
      <c r="P23" s="394" t="s">
        <v>468</v>
      </c>
      <c r="Q23" s="395" t="str">
        <f>IF(M7="OPC 53","37",IF(M7="OPC 43","33","22"))</f>
        <v>22</v>
      </c>
      <c r="R23" s="394" t="s">
        <v>473</v>
      </c>
    </row>
    <row r="24" spans="1:18">
      <c r="A24" s="384" t="s">
        <v>442</v>
      </c>
      <c r="B24" s="384"/>
      <c r="C24" s="384"/>
      <c r="D24" s="384"/>
      <c r="E24" s="382"/>
      <c r="F24" s="382"/>
      <c r="G24" s="384"/>
      <c r="H24" s="384"/>
      <c r="I24" s="384"/>
      <c r="J24" s="384"/>
      <c r="K24" s="382"/>
      <c r="L24" s="394" t="s">
        <v>476</v>
      </c>
      <c r="M24" s="394">
        <f>(Materials!E72+Materials!F72+Materials!G72)/3</f>
        <v>71.3</v>
      </c>
      <c r="N24" s="394" t="s">
        <v>473</v>
      </c>
      <c r="O24" s="384"/>
      <c r="P24" s="394" t="s">
        <v>468</v>
      </c>
      <c r="Q24" s="395" t="str">
        <f>IF(M7="OPC 53","53",IF(M7="OPC 43","43","33"))</f>
        <v>33</v>
      </c>
      <c r="R24" s="394" t="s">
        <v>473</v>
      </c>
    </row>
    <row r="25" spans="1:18">
      <c r="A25" s="384" t="s">
        <v>441</v>
      </c>
      <c r="B25" s="384"/>
      <c r="C25" s="384"/>
      <c r="D25" s="384" t="s">
        <v>401</v>
      </c>
      <c r="E25" s="382">
        <f>Master!E69</f>
        <v>0.85</v>
      </c>
      <c r="F25" s="382"/>
      <c r="G25" s="384" t="s">
        <v>160</v>
      </c>
      <c r="H25" s="384"/>
      <c r="I25" s="384"/>
      <c r="J25" s="384" t="s">
        <v>401</v>
      </c>
      <c r="K25" s="382">
        <f>Master!E72</f>
        <v>1</v>
      </c>
      <c r="L25" s="394"/>
      <c r="M25" s="394"/>
      <c r="N25" s="394"/>
      <c r="O25" s="384"/>
      <c r="P25" s="394"/>
      <c r="Q25" s="395"/>
      <c r="R25" s="394"/>
    </row>
    <row r="26" spans="1:18">
      <c r="A26" s="384" t="s">
        <v>443</v>
      </c>
      <c r="B26" s="384"/>
      <c r="C26" s="384"/>
      <c r="D26" s="384"/>
      <c r="E26" s="382"/>
      <c r="F26" s="382"/>
      <c r="G26" s="384"/>
      <c r="H26" s="384"/>
      <c r="I26" s="384"/>
      <c r="J26" s="384"/>
      <c r="K26" s="382"/>
      <c r="L26" s="393" t="s">
        <v>477</v>
      </c>
      <c r="M26" s="394">
        <f>Materials!F28*100/Materials!F25</f>
        <v>30</v>
      </c>
      <c r="N26" s="394" t="s">
        <v>457</v>
      </c>
      <c r="O26" s="384"/>
      <c r="P26" s="394"/>
      <c r="Q26" s="394"/>
      <c r="R26" s="394"/>
    </row>
    <row r="27" spans="1:18">
      <c r="A27" s="384" t="s">
        <v>441</v>
      </c>
      <c r="B27" s="384"/>
      <c r="C27" s="384"/>
      <c r="D27" s="384" t="s">
        <v>401</v>
      </c>
      <c r="E27" s="382">
        <f>Master!E81</f>
        <v>0</v>
      </c>
      <c r="F27" s="382"/>
      <c r="G27" s="384" t="s">
        <v>160</v>
      </c>
      <c r="H27" s="384"/>
      <c r="I27" s="384"/>
      <c r="J27" s="384" t="s">
        <v>401</v>
      </c>
      <c r="K27" s="382">
        <f>Master!E84</f>
        <v>1</v>
      </c>
      <c r="L27" s="24"/>
      <c r="M27" s="24"/>
      <c r="N27" s="24"/>
      <c r="O27" s="24"/>
      <c r="P27" s="24"/>
      <c r="Q27" s="23"/>
      <c r="R27" s="24"/>
    </row>
    <row r="28" spans="1:18" ht="15.75" thickBot="1">
      <c r="A28" s="384"/>
      <c r="B28" s="384"/>
      <c r="C28" s="384"/>
      <c r="D28" s="384"/>
      <c r="E28" s="382"/>
      <c r="F28" s="382"/>
      <c r="G28" s="384"/>
      <c r="H28" s="384"/>
      <c r="I28" s="384"/>
      <c r="J28" s="384"/>
      <c r="K28" s="382"/>
      <c r="L28" s="387" t="s">
        <v>39</v>
      </c>
      <c r="M28" s="24"/>
      <c r="N28" s="24"/>
      <c r="O28" s="24"/>
      <c r="P28" s="24"/>
      <c r="Q28" s="24"/>
      <c r="R28" s="24"/>
    </row>
    <row r="29" spans="1:18" ht="15.75" thickBot="1">
      <c r="A29" s="385" t="s">
        <v>153</v>
      </c>
      <c r="B29" s="385"/>
      <c r="C29" s="385"/>
      <c r="E29" s="31"/>
      <c r="F29" s="31"/>
      <c r="K29" s="31"/>
      <c r="L29" s="24"/>
      <c r="M29" s="24"/>
      <c r="N29" s="24"/>
      <c r="O29" s="24"/>
      <c r="P29" s="24"/>
      <c r="Q29" s="24"/>
      <c r="R29" s="24"/>
    </row>
    <row r="30" spans="1:18" ht="15" customHeight="1">
      <c r="E30" s="31"/>
      <c r="F30" s="31"/>
      <c r="K30" s="31"/>
      <c r="L30" s="394" t="s">
        <v>449</v>
      </c>
      <c r="M30" s="396">
        <f>Materials!M26/(Materials!M14-(Materials!M18-Materials!M23))</f>
        <v>3.8</v>
      </c>
      <c r="N30" s="394"/>
      <c r="O30" s="23"/>
      <c r="P30" s="394" t="s">
        <v>469</v>
      </c>
      <c r="Q30" s="396">
        <f>'FA-FM Calc.'!F31</f>
        <v>3.333333333333333</v>
      </c>
      <c r="R30" s="394"/>
    </row>
    <row r="31" spans="1:18" ht="14.25" customHeight="1">
      <c r="A31" s="384" t="s">
        <v>444</v>
      </c>
      <c r="B31" s="384"/>
      <c r="C31" s="384"/>
      <c r="D31" s="384" t="s">
        <v>401</v>
      </c>
      <c r="E31" s="382">
        <f>Master!E93</f>
        <v>10</v>
      </c>
      <c r="F31" s="382"/>
      <c r="G31" s="384" t="s">
        <v>445</v>
      </c>
      <c r="H31" s="384"/>
      <c r="I31" s="384"/>
      <c r="J31" s="384" t="s">
        <v>401</v>
      </c>
      <c r="K31" s="382" t="str">
        <f>Master!E96</f>
        <v>Yes</v>
      </c>
      <c r="L31" s="725" t="s">
        <v>479</v>
      </c>
      <c r="M31" s="396">
        <f>100*(Materials!M14-Materials!M26)/Materials!M26</f>
        <v>5.2631578947368425</v>
      </c>
      <c r="N31" s="394"/>
      <c r="O31" s="397"/>
      <c r="P31" s="724" t="s">
        <v>461</v>
      </c>
      <c r="Q31" s="396">
        <f>((Materials!M38/Materials!M40)-1)*100</f>
        <v>25</v>
      </c>
      <c r="R31" s="24"/>
    </row>
    <row r="32" spans="1:18" ht="15" customHeight="1">
      <c r="A32" s="384" t="s">
        <v>446</v>
      </c>
      <c r="B32" s="384"/>
      <c r="C32" s="384"/>
      <c r="D32" s="384" t="s">
        <v>401</v>
      </c>
      <c r="E32" s="382">
        <f>Master!E99</f>
        <v>20</v>
      </c>
      <c r="F32" s="382"/>
      <c r="G32" s="384" t="s">
        <v>447</v>
      </c>
      <c r="H32" s="384"/>
      <c r="I32" s="384"/>
      <c r="J32" s="384" t="s">
        <v>401</v>
      </c>
      <c r="K32" s="382">
        <f>Master!E102</f>
        <v>2.2000000000000002</v>
      </c>
      <c r="L32" s="725"/>
      <c r="M32" s="394"/>
      <c r="N32" s="394"/>
      <c r="O32" s="24"/>
      <c r="P32" s="724"/>
      <c r="Q32" s="24"/>
      <c r="R32" s="24"/>
    </row>
    <row r="33" spans="1:18" ht="15" customHeight="1">
      <c r="E33" s="31"/>
      <c r="F33" s="31"/>
      <c r="K33" s="31"/>
      <c r="L33" s="725" t="s">
        <v>480</v>
      </c>
      <c r="M33" s="396">
        <f>((Materials!M48-Materials!M51)-Materials!M54)*100/(Materials!M57-(Materials!M48-Materials!M51))</f>
        <v>9.5238095238095237</v>
      </c>
      <c r="N33" s="394"/>
      <c r="O33" s="397"/>
      <c r="P33" s="24"/>
      <c r="Q33" s="24"/>
      <c r="R33" s="24"/>
    </row>
    <row r="34" spans="1:18" ht="15" customHeight="1" thickBot="1">
      <c r="A34" s="723" t="s">
        <v>448</v>
      </c>
      <c r="B34" s="723"/>
      <c r="E34" s="31"/>
      <c r="F34" s="31"/>
      <c r="K34" s="31"/>
      <c r="L34" s="725"/>
      <c r="M34" s="394"/>
      <c r="N34" s="394"/>
      <c r="O34" s="24"/>
      <c r="P34" s="24"/>
      <c r="Q34" s="24"/>
      <c r="R34" s="24"/>
    </row>
    <row r="35" spans="1:18">
      <c r="E35" s="31"/>
      <c r="F35" s="31"/>
      <c r="K35" s="31"/>
      <c r="L35" s="394"/>
      <c r="M35" s="394"/>
      <c r="N35" s="394"/>
      <c r="O35" s="397"/>
      <c r="P35" s="24"/>
      <c r="Q35" s="24"/>
      <c r="R35" s="24"/>
    </row>
    <row r="36" spans="1:18" ht="15.75" thickBot="1">
      <c r="A36" s="384" t="s">
        <v>449</v>
      </c>
      <c r="B36" s="384"/>
      <c r="C36" s="384"/>
      <c r="D36" s="384" t="s">
        <v>401</v>
      </c>
      <c r="E36" s="382">
        <f>Master!E108</f>
        <v>1.145</v>
      </c>
      <c r="F36" s="382"/>
      <c r="G36" s="384" t="s">
        <v>450</v>
      </c>
      <c r="H36" s="384"/>
      <c r="I36" s="384"/>
      <c r="J36" s="384" t="s">
        <v>401</v>
      </c>
      <c r="K36" s="382">
        <f>Master!E111</f>
        <v>0</v>
      </c>
      <c r="L36" s="387" t="s">
        <v>129</v>
      </c>
      <c r="M36" s="394"/>
      <c r="N36" s="394"/>
      <c r="O36" s="24"/>
      <c r="P36" s="24"/>
      <c r="Q36" s="24"/>
      <c r="R36" s="24"/>
    </row>
    <row r="37" spans="1:18">
      <c r="A37" s="730" t="s">
        <v>451</v>
      </c>
      <c r="B37" s="730"/>
      <c r="C37" s="730"/>
      <c r="D37" s="384" t="s">
        <v>401</v>
      </c>
      <c r="E37" s="382">
        <f>Master!E114</f>
        <v>0</v>
      </c>
      <c r="F37" s="382"/>
      <c r="G37" s="384"/>
      <c r="H37" s="384"/>
      <c r="I37" s="384"/>
      <c r="J37" s="384"/>
      <c r="K37" s="384"/>
      <c r="L37" s="394"/>
      <c r="M37" s="394"/>
      <c r="N37" s="394"/>
      <c r="O37" s="397"/>
      <c r="P37" s="24"/>
      <c r="Q37" s="24"/>
      <c r="R37" s="24"/>
    </row>
    <row r="38" spans="1:18">
      <c r="A38" s="730"/>
      <c r="B38" s="730"/>
      <c r="C38" s="730"/>
      <c r="D38" s="384"/>
      <c r="E38" s="384"/>
      <c r="F38" s="384"/>
      <c r="G38" s="384"/>
      <c r="H38" s="384"/>
      <c r="I38" s="384"/>
      <c r="J38" s="384"/>
      <c r="K38" s="384"/>
      <c r="L38" s="394" t="s">
        <v>326</v>
      </c>
      <c r="M38" s="396">
        <f>((Tests!O56-Tests!O54)*(Materials!S43/(Materials!S41-(Materials!S35-Materials!S38)))+Tests!O54*(Materials!S29/(Materials!S17-(Materials!S21-Materials!S24))))/Tests!O56</f>
        <v>3.3023809523809518</v>
      </c>
      <c r="N38" s="394"/>
      <c r="O38" s="397"/>
      <c r="P38" s="394" t="s">
        <v>469</v>
      </c>
      <c r="Q38" s="396">
        <f>'FA-FM Calc.'!O37</f>
        <v>6.7857142857142856</v>
      </c>
      <c r="R38" s="24"/>
    </row>
    <row r="39" spans="1:18" ht="15" customHeight="1">
      <c r="L39" s="724" t="s">
        <v>459</v>
      </c>
      <c r="M39" s="396">
        <f>((100*(Materials!S41-Materials!S43)/Materials!S43)*(Tests!O56-Tests!O54)+(100*(Materials!S17-Materials!S29)/Materials!S29)*Tests!O54)/Tests!O56</f>
        <v>9.3984962406015047</v>
      </c>
      <c r="N39" s="394"/>
      <c r="O39" s="394"/>
      <c r="P39" s="724"/>
      <c r="Q39" s="396"/>
      <c r="R39" s="24"/>
    </row>
    <row r="40" spans="1:18">
      <c r="L40" s="724"/>
      <c r="M40" s="397"/>
      <c r="N40" s="394"/>
      <c r="O40" s="394"/>
      <c r="P40" s="724"/>
      <c r="Q40" s="394"/>
      <c r="R40" s="24"/>
    </row>
    <row r="41" spans="1:18" ht="15" customHeight="1">
      <c r="L41" s="724" t="s">
        <v>481</v>
      </c>
      <c r="M41" s="396">
        <f>((Materials!S52-Materials!S55)-Materials!S58)*100/(Materials!S60-(Materials!S52-Materials!S55))</f>
        <v>9.5238095238095237</v>
      </c>
      <c r="N41" s="394"/>
      <c r="O41" s="394"/>
      <c r="P41" s="394"/>
      <c r="Q41" s="394"/>
      <c r="R41" s="24"/>
    </row>
    <row r="42" spans="1:18">
      <c r="L42" s="724"/>
      <c r="M42" s="394"/>
      <c r="N42" s="394"/>
      <c r="O42" s="394"/>
      <c r="P42" s="394"/>
      <c r="Q42" s="394"/>
      <c r="R42" s="24"/>
    </row>
    <row r="43" spans="1:18" ht="15" customHeight="1">
      <c r="L43" s="23"/>
      <c r="M43" s="36"/>
      <c r="N43" s="23"/>
    </row>
    <row r="44" spans="1:18" ht="15" customHeight="1">
      <c r="L44" s="23"/>
      <c r="M44" s="36"/>
      <c r="N44" s="23"/>
    </row>
    <row r="45" spans="1:18">
      <c r="L45" s="23"/>
      <c r="M45" s="23"/>
      <c r="N45" s="23"/>
    </row>
    <row r="47" spans="1:18" ht="15.75" thickBot="1">
      <c r="A47" s="728" t="s">
        <v>402</v>
      </c>
      <c r="B47" s="728"/>
      <c r="C47" s="728"/>
      <c r="D47" s="728"/>
      <c r="E47" s="728"/>
      <c r="F47" s="728"/>
      <c r="G47" s="728"/>
      <c r="H47" s="728"/>
      <c r="I47" s="728"/>
      <c r="J47" s="728"/>
      <c r="K47" s="728"/>
      <c r="L47" s="721" t="s">
        <v>402</v>
      </c>
      <c r="M47" s="721"/>
      <c r="N47" s="721"/>
      <c r="O47" s="721"/>
      <c r="P47" s="721"/>
      <c r="Q47" s="721"/>
      <c r="R47" s="721"/>
    </row>
    <row r="48" spans="1:18" ht="16.5" thickTop="1" thickBot="1">
      <c r="A48" s="728"/>
      <c r="B48" s="728"/>
      <c r="C48" s="728"/>
      <c r="D48" s="728"/>
      <c r="E48" s="728"/>
      <c r="F48" s="728"/>
      <c r="G48" s="728"/>
      <c r="H48" s="728"/>
      <c r="I48" s="728"/>
      <c r="J48" s="728"/>
      <c r="K48" s="728"/>
      <c r="L48" s="722"/>
      <c r="M48" s="722"/>
      <c r="N48" s="722"/>
      <c r="O48" s="722"/>
      <c r="P48" s="722"/>
      <c r="Q48" s="722"/>
      <c r="R48" s="722"/>
    </row>
    <row r="49" spans="1:18" ht="15.75" thickTop="1"/>
    <row r="51" spans="1:18" ht="15.75" thickBot="1">
      <c r="A51" s="723" t="s">
        <v>482</v>
      </c>
      <c r="B51" s="723"/>
      <c r="L51" s="723" t="s">
        <v>500</v>
      </c>
      <c r="M51" s="723"/>
      <c r="P51" s="723" t="s">
        <v>501</v>
      </c>
      <c r="Q51" s="723"/>
    </row>
    <row r="53" spans="1:18">
      <c r="A53" s="24" t="s">
        <v>107</v>
      </c>
      <c r="B53" s="24"/>
      <c r="C53" s="31" t="str">
        <f>K21</f>
        <v>III</v>
      </c>
      <c r="L53" s="397" t="s">
        <v>159</v>
      </c>
      <c r="M53" s="440">
        <f>'Mix Calculation'!L14</f>
        <v>347.00159999999994</v>
      </c>
      <c r="N53" s="26" t="s">
        <v>499</v>
      </c>
      <c r="O53" s="26"/>
      <c r="P53" s="397" t="s">
        <v>159</v>
      </c>
      <c r="Q53" s="440">
        <f>'Mix Calculation'!S14</f>
        <v>347.00159999999994</v>
      </c>
      <c r="R53" s="26" t="s">
        <v>499</v>
      </c>
    </row>
    <row r="54" spans="1:18" ht="15" customHeight="1">
      <c r="L54" s="397" t="s">
        <v>142</v>
      </c>
      <c r="M54" s="440">
        <f>'Mix Calculation'!L16</f>
        <v>86.750399999999985</v>
      </c>
      <c r="N54" s="26" t="s">
        <v>499</v>
      </c>
      <c r="O54" s="26"/>
      <c r="P54" s="397" t="s">
        <v>142</v>
      </c>
      <c r="Q54" s="440">
        <f>'Mix Calculation'!S16</f>
        <v>86.750399999999985</v>
      </c>
      <c r="R54" s="26" t="s">
        <v>499</v>
      </c>
    </row>
    <row r="55" spans="1:18" ht="15" customHeight="1">
      <c r="A55" s="24" t="s">
        <v>488</v>
      </c>
      <c r="B55" s="24"/>
      <c r="C55" s="24"/>
      <c r="L55" s="397" t="s">
        <v>92</v>
      </c>
      <c r="M55" s="440">
        <f>'Mix Calculation'!L18</f>
        <v>197.16</v>
      </c>
      <c r="N55" s="26" t="s">
        <v>499</v>
      </c>
      <c r="O55" s="26"/>
      <c r="P55" s="397" t="s">
        <v>92</v>
      </c>
      <c r="Q55" s="440">
        <f>'Mix Calculation'!S16</f>
        <v>86.750399999999985</v>
      </c>
      <c r="R55" s="26" t="s">
        <v>499</v>
      </c>
    </row>
    <row r="56" spans="1:18">
      <c r="A56" s="24"/>
      <c r="B56" s="24"/>
      <c r="C56" s="24"/>
      <c r="L56" s="397" t="s">
        <v>160</v>
      </c>
      <c r="M56" s="440">
        <f>'Mix Calculation'!L20</f>
        <v>634.95779657142873</v>
      </c>
      <c r="N56" s="26" t="s">
        <v>499</v>
      </c>
      <c r="O56" s="26"/>
      <c r="P56" s="397" t="s">
        <v>160</v>
      </c>
      <c r="Q56" s="440">
        <f>'Mix Calculation'!S20</f>
        <v>641.307374537143</v>
      </c>
      <c r="R56" s="26" t="s">
        <v>499</v>
      </c>
    </row>
    <row r="57" spans="1:18" ht="12.75" customHeight="1">
      <c r="A57" s="736" t="s">
        <v>484</v>
      </c>
      <c r="B57" s="738" t="s">
        <v>483</v>
      </c>
      <c r="C57" s="736" t="s">
        <v>485</v>
      </c>
      <c r="L57" s="397" t="s">
        <v>161</v>
      </c>
      <c r="M57" s="440">
        <f>'Mix Calculation'!L22</f>
        <v>1107.9099001904765</v>
      </c>
      <c r="N57" s="26" t="s">
        <v>499</v>
      </c>
      <c r="O57" s="26"/>
      <c r="P57" s="397" t="s">
        <v>161</v>
      </c>
      <c r="Q57" s="440">
        <f>'Mix Calculation'!S22</f>
        <v>1107.9099001904765</v>
      </c>
      <c r="R57" s="26" t="s">
        <v>499</v>
      </c>
    </row>
    <row r="58" spans="1:18">
      <c r="A58" s="737"/>
      <c r="B58" s="739"/>
      <c r="C58" s="737"/>
      <c r="L58" s="397" t="s">
        <v>140</v>
      </c>
      <c r="M58" s="440">
        <f>'Mix Calculation'!L24</f>
        <v>0</v>
      </c>
      <c r="N58" s="26" t="s">
        <v>499</v>
      </c>
      <c r="O58" s="26"/>
      <c r="P58" s="397" t="s">
        <v>140</v>
      </c>
      <c r="Q58" s="440">
        <f>'Mix Calculation'!S24</f>
        <v>0</v>
      </c>
      <c r="R58" s="26" t="s">
        <v>499</v>
      </c>
    </row>
    <row r="59" spans="1:18">
      <c r="A59" s="409">
        <f>IF(C53="I",'FA Grading'!$I$13,IF(C53="II",'FA Grading'!$L$13,IF(C53="III",'FA Grading'!$O$13,'FA Grading'!$R$13)))</f>
        <v>100</v>
      </c>
      <c r="B59" s="410">
        <f>'FA Grading'!D11</f>
        <v>100</v>
      </c>
      <c r="C59" s="409">
        <f>IF(C53="I",'FA Grading'!$J$13,IF(C53="II",'FA Grading'!$M$13,IF(C53="III",'FA Grading'!$P$13,'FA Grading'!$S$13)))</f>
        <v>100</v>
      </c>
      <c r="L59" s="398" t="s">
        <v>162</v>
      </c>
      <c r="M59" s="440">
        <f>'Mix Calculation'!L26</f>
        <v>0.45454545454545459</v>
      </c>
      <c r="N59" s="26"/>
      <c r="O59" s="26"/>
      <c r="P59" s="398" t="s">
        <v>162</v>
      </c>
      <c r="Q59" s="440">
        <f>'Mix Calculation'!S26</f>
        <v>0.45454545454545459</v>
      </c>
      <c r="R59" s="26"/>
    </row>
    <row r="60" spans="1:18">
      <c r="A60" s="409">
        <f>IF(C53="I",'FA Grading'!$I$14,IF(C53="II",'FA Grading'!$L$14,IF(C53="III",'FA Grading'!$O$14,'FA Grading'!$R$14)))</f>
        <v>90</v>
      </c>
      <c r="B60" s="410">
        <f>'FA Grading'!D12</f>
        <v>100</v>
      </c>
      <c r="C60" s="409">
        <f>IF(C53="I",'FA Grading'!$J$14,IF(C53="II",'FA Grading'!$M$14,IF(C53="III",'FA Grading'!$P$14,'FA Grading'!$S$14)))</f>
        <v>100</v>
      </c>
      <c r="L60" s="26"/>
      <c r="M60" s="26"/>
      <c r="N60" s="26"/>
      <c r="O60" s="26"/>
      <c r="P60" s="26"/>
      <c r="Q60" s="26"/>
      <c r="R60" s="26"/>
    </row>
    <row r="61" spans="1:18">
      <c r="A61" s="409">
        <f>IF(C53="I",'FA Grading'!$I$15,IF(C53="II",'FA Grading'!$L$15,IF(C53="III",'FA Grading'!$O$15,'FA Grading'!$R$15)))</f>
        <v>85</v>
      </c>
      <c r="B61" s="410">
        <f>'FA Grading'!D13</f>
        <v>76.666666666666671</v>
      </c>
      <c r="C61" s="409">
        <f>IF(C53="I",'FA Grading'!$J$15,IF(C53="II",'FA Grading'!$M$15,IF(C53="III",'FA Grading'!$P$15,'FA Grading'!$S$15)))</f>
        <v>100</v>
      </c>
    </row>
    <row r="62" spans="1:18">
      <c r="A62" s="409">
        <f>IF(C53="I",'FA Grading'!$I$16,IF(C53="II",'FA Grading'!$L$16,IF(C53="III",'FA Grading'!$O$16,'FA Grading'!$R$16)))</f>
        <v>75</v>
      </c>
      <c r="B62" s="410">
        <f>'FA Grading'!D14</f>
        <v>53.333333333333336</v>
      </c>
      <c r="C62" s="409">
        <f>IF(C53="I",'FA Grading'!$J$16,IF(C53="II",'FA Grading'!$M$16,IF(C53="III",'FA Grading'!$P$16,'FA Grading'!$S$16)))</f>
        <v>100</v>
      </c>
    </row>
    <row r="63" spans="1:18">
      <c r="A63" s="409">
        <f>IF(C53="I",'FA Grading'!$I$17,IF(C53="II",'FA Grading'!$L$17,IF(C53="III",'FA Grading'!$O$17,'FA Grading'!$R$17)))</f>
        <v>60</v>
      </c>
      <c r="B63" s="410">
        <f>'FA Grading'!D15</f>
        <v>30.000000000000014</v>
      </c>
      <c r="C63" s="409">
        <f>IF(C53="I",'FA Grading'!$J$17,IF(C53="II",'FA Grading'!$M$17,IF(C53="III",'FA Grading'!$P$17,'FA Grading'!$S$17)))</f>
        <v>79</v>
      </c>
    </row>
    <row r="64" spans="1:18">
      <c r="A64" s="409" t="str">
        <f>IF(C53="I",'FA Grading'!$I$18,IF(C53="II",'FA Grading'!$L$18,IF(C53="III",'FA Grading'!$O$18,'FA Grading'!$R$18)))</f>
        <v>12</v>
      </c>
      <c r="B64" s="410">
        <f>'FA Grading'!D16</f>
        <v>6.6666666666666714</v>
      </c>
      <c r="C64" s="409" t="str">
        <f>IF(C53="I",'FA Grading'!$J$18,IF(C53="II",'FA Grading'!$M$18,IF(C53="III",'FA Grading'!$P$18,'FA Grading'!$S$18)))</f>
        <v>40</v>
      </c>
    </row>
    <row r="65" spans="1:3">
      <c r="A65" s="409">
        <f>IF(C53="I",'FA Grading'!$I$19,IF(C53="II",'FA Grading'!$L$19,IF(C53="III",'FA Grading'!$O$19,'FA Grading'!$R$19)))</f>
        <v>0</v>
      </c>
      <c r="B65" s="410">
        <f>'FA Grading'!D17</f>
        <v>0</v>
      </c>
      <c r="C65" s="409">
        <f>IF(C53="I",'FA Grading'!$J$19,IF(C53="II",'FA Grading'!$M$19,IF(C53="III",'FA Grading'!$P$19,'FA Grading'!$S$19)))</f>
        <v>10</v>
      </c>
    </row>
    <row r="71" spans="1:3" ht="15.75" thickBot="1">
      <c r="A71" s="723" t="s">
        <v>486</v>
      </c>
      <c r="B71" s="723"/>
    </row>
    <row r="73" spans="1:3">
      <c r="A73" s="729" t="s">
        <v>487</v>
      </c>
      <c r="B73" s="729"/>
      <c r="C73">
        <f>E21</f>
        <v>20</v>
      </c>
    </row>
    <row r="74" spans="1:3">
      <c r="A74" s="729"/>
      <c r="B74" s="729"/>
    </row>
    <row r="75" spans="1:3">
      <c r="A75" s="408"/>
      <c r="B75" s="408"/>
      <c r="C75" s="24"/>
    </row>
    <row r="76" spans="1:3" ht="14.25" customHeight="1">
      <c r="A76" s="729" t="s">
        <v>489</v>
      </c>
      <c r="B76" s="729"/>
      <c r="C76" s="24"/>
    </row>
    <row r="78" spans="1:3">
      <c r="A78" s="734" t="s">
        <v>484</v>
      </c>
      <c r="B78" s="735" t="s">
        <v>483</v>
      </c>
      <c r="C78" s="734" t="s">
        <v>485</v>
      </c>
    </row>
    <row r="79" spans="1:3">
      <c r="A79" s="734"/>
      <c r="B79" s="735"/>
      <c r="C79" s="734"/>
    </row>
    <row r="80" spans="1:3">
      <c r="A80" s="409">
        <f>IF(C73=40,'CA Grading'!$I$9,IF(C73=20,'CA Grading'!$L$10,'CA Grading'!$O$9))</f>
        <v>100</v>
      </c>
      <c r="B80" s="410">
        <f>'CA Grading'!D9</f>
        <v>100</v>
      </c>
      <c r="C80" s="409">
        <f>IF(C73=40,'CA Grading'!$J$9,IF(C73=20,'CA Grading'!$M$10,'CA Grading'!$P$9))</f>
        <v>100</v>
      </c>
    </row>
    <row r="81" spans="1:4">
      <c r="A81" s="409">
        <f>IF(C73=40,'CA Grading'!$I$10,IF(C73=20,'CA Grading'!$L$11,'CA Grading'!$O$10))</f>
        <v>85</v>
      </c>
      <c r="B81" s="410">
        <f>'CA Grading'!D10</f>
        <v>100</v>
      </c>
      <c r="C81" s="409">
        <f>IF(C73=40,'CA Grading'!$J$10,IF(C73=20,'CA Grading'!$M$11,'CA Grading'!$P$10))</f>
        <v>100</v>
      </c>
    </row>
    <row r="82" spans="1:4">
      <c r="A82" s="409">
        <f>IF(C73=40,'CA Grading'!$I$11,IF(C73=20,'CA Grading'!$L$12,'CA Grading'!$O$11))</f>
        <v>0</v>
      </c>
      <c r="B82" s="410">
        <f>'CA Grading'!D11</f>
        <v>100</v>
      </c>
      <c r="C82" s="409">
        <f>IF(C73=40,'CA Grading'!$J$11,IF(C73=20,'CA Grading'!$M$12,'CA Grading'!$P$11))</f>
        <v>20</v>
      </c>
    </row>
    <row r="83" spans="1:4">
      <c r="A83" s="409">
        <f>IF(C73=40,'CA Grading'!$I$12,IF(C73=20,'CA Grading'!$L$12,'CA Grading'!$O$12))</f>
        <v>0</v>
      </c>
      <c r="B83" s="410">
        <f>'CA Grading'!D12</f>
        <v>21.428571428571431</v>
      </c>
      <c r="C83" s="409">
        <f>IF(C73=40,'CA Grading'!$J$12,IF(C73=20,'CA Grading'!$M$13,'CA Grading'!$P$12))</f>
        <v>5</v>
      </c>
    </row>
    <row r="84" spans="1:4">
      <c r="A84" s="409">
        <f>IF(C73=40,'CA Grading'!$I$13,IF(C73=20,'CA Grading'!$L$13,'CA Grading'!$O$13))</f>
        <v>0</v>
      </c>
      <c r="B84" s="410">
        <f>'CA Grading'!D13</f>
        <v>0</v>
      </c>
      <c r="C84" s="409" t="str">
        <f>IF(C73=40,'CA Grading'!$J$13,IF(C73=20,'CA Grading'!$M$14,'CA Grading'!$P$13))</f>
        <v>-</v>
      </c>
    </row>
    <row r="85" spans="1:4">
      <c r="A85" s="409" t="str">
        <f>IF(C73=40,'CA Grading'!$I$14,IF(C73=20,'CA Grading'!$L$14,'CA Grading'!$O$14))</f>
        <v>-</v>
      </c>
      <c r="B85" s="410">
        <f>'CA Grading'!D14</f>
        <v>0</v>
      </c>
      <c r="C85" s="409" t="str">
        <f>IF(C73=40,'CA Grading'!$J$14,IF(C73=20,'CA Grading'!$M$14,'CA Grading'!$P$14))</f>
        <v>-</v>
      </c>
    </row>
    <row r="86" spans="1:4">
      <c r="A86" s="431"/>
      <c r="B86" s="432"/>
      <c r="C86" s="433"/>
      <c r="D86" s="26"/>
    </row>
    <row r="87" spans="1:4">
      <c r="A87" s="26"/>
      <c r="B87" s="26"/>
      <c r="C87" s="26"/>
    </row>
  </sheetData>
  <sheetProtection password="C08E" sheet="1" formatCells="0" formatColumns="0" formatRows="0" insertColumns="0" insertRows="0" insertHyperlinks="0" deleteColumns="0" deleteRows="0" sort="0" autoFilter="0" pivotTables="0"/>
  <mergeCells count="34">
    <mergeCell ref="A78:A79"/>
    <mergeCell ref="B78:B79"/>
    <mergeCell ref="C78:C79"/>
    <mergeCell ref="A57:A58"/>
    <mergeCell ref="B57:B58"/>
    <mergeCell ref="C57:C58"/>
    <mergeCell ref="A76:B76"/>
    <mergeCell ref="A47:K48"/>
    <mergeCell ref="A51:B51"/>
    <mergeCell ref="A71:B71"/>
    <mergeCell ref="A73:B74"/>
    <mergeCell ref="L2:R3"/>
    <mergeCell ref="A34:B34"/>
    <mergeCell ref="A37:C38"/>
    <mergeCell ref="E13:F13"/>
    <mergeCell ref="A15:B15"/>
    <mergeCell ref="A19:B19"/>
    <mergeCell ref="A9:C9"/>
    <mergeCell ref="A7:B7"/>
    <mergeCell ref="A10:C10"/>
    <mergeCell ref="A2:K3"/>
    <mergeCell ref="E11:F12"/>
    <mergeCell ref="K11:K12"/>
    <mergeCell ref="L31:L32"/>
    <mergeCell ref="P31:P32"/>
    <mergeCell ref="L33:L34"/>
    <mergeCell ref="M7:N7"/>
    <mergeCell ref="M8:N8"/>
    <mergeCell ref="L47:R48"/>
    <mergeCell ref="L51:M51"/>
    <mergeCell ref="P51:Q51"/>
    <mergeCell ref="L39:L40"/>
    <mergeCell ref="P39:P40"/>
    <mergeCell ref="L41:L42"/>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vt:lpstr>
      <vt:lpstr>Materials</vt:lpstr>
      <vt:lpstr>Tests</vt:lpstr>
      <vt:lpstr>Standard Deviation</vt:lpstr>
      <vt:lpstr>WC</vt:lpstr>
      <vt:lpstr>Water Content</vt:lpstr>
      <vt:lpstr>Cement Content</vt:lpstr>
      <vt:lpstr>FA-FM Calc.</vt:lpstr>
      <vt:lpstr>FA Grading</vt:lpstr>
      <vt:lpstr>CA Grading</vt:lpstr>
      <vt:lpstr>Agg. Proportn</vt:lpstr>
      <vt:lpstr>Mix Calculation</vt:lpstr>
      <vt:lpstr>Abstract</vt:lpstr>
      <vt:lpstr>'Standard Deviation'!Criteria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2016-05-13T16:05:47Z</dcterms:modified>
</cp:coreProperties>
</file>